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alexisrosenfeld/Desktop/Admin_unine/plannification_semestre/"/>
    </mc:Choice>
  </mc:AlternateContent>
  <xr:revisionPtr revIDLastSave="0" documentId="8_{905F3F44-C9A1-4545-B75A-AB762B24CAC7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Course Ranking" sheetId="1" r:id="rId1"/>
    <sheet name="Portfolio Comparison" sheetId="2" r:id="rId2"/>
    <sheet name="Synergy Matrix" sheetId="3" r:id="rId3"/>
    <sheet name="Evidence" sheetId="4" r:id="rId4"/>
    <sheet name="Recommendation" sheetId="5" r:id="rId5"/>
  </sheets>
  <definedNames>
    <definedName name="_xlnm._FilterDatabase" localSheetId="0" hidden="1">'Course Ranking'!$A$3:$AK$23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5" l="1"/>
  <c r="B4" i="5"/>
  <c r="C13" i="2"/>
  <c r="C11" i="2"/>
  <c r="B41" i="5" s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B1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Cours verrouillé par Alexis. Identification locale: Systèmes concurrents et distribués / Concurrent and Distributed Computing; distinct de Distributed Algorithms.</t>
        </r>
      </text>
    </comment>
  </commentList>
</comments>
</file>

<file path=xl/sharedStrings.xml><?xml version="1.0" encoding="utf-8"?>
<sst xmlns="http://schemas.openxmlformats.org/spreadsheetml/2006/main" count="1042" uniqueCount="706">
  <si>
    <t>Course Ranking - A2026 JMCS</t>
  </si>
  <si>
    <t>Scores sur 100: les colonnes M:V totalisent les poids demandés. Les tags [A2026], [ARCHIVE], [I], [?] distinguent les niveaux de preuve.</t>
  </si>
  <si>
    <t>Rank</t>
  </si>
  <si>
    <t>Course</t>
  </si>
  <si>
    <t>Code</t>
  </si>
  <si>
    <t>Track</t>
  </si>
  <si>
    <t>University / Site</t>
  </si>
  <si>
    <t>ECTS</t>
  </si>
  <si>
    <t>Day</t>
  </si>
  <si>
    <t>Time</t>
  </si>
  <si>
    <t>Type</t>
  </si>
  <si>
    <t>Evaluation</t>
  </si>
  <si>
    <t>Group project?</t>
  </si>
  <si>
    <t>Main deliverable</t>
  </si>
  <si>
    <t>Personal Interest /12</t>
  </si>
  <si>
    <t>Collective /18</t>
  </si>
  <si>
    <t>ErgonomIA synergy /6</t>
  </si>
  <si>
    <t>LegalTech synergy /6</t>
  </si>
  <si>
    <t>ML &amp; Decision synergy /6</t>
  </si>
  <si>
    <t>Concrete Output /12</t>
  </si>
  <si>
    <t>Entrepreneurship /8</t>
  </si>
  <si>
    <t>Marginal Technical Skills /10</t>
  </si>
  <si>
    <t>Sustainable Workload /15</t>
  </si>
  <si>
    <t>Complementarity /7</t>
  </si>
  <si>
    <t>TOTAL /100</t>
  </si>
  <si>
    <t>Estimated Workload 1-5</t>
  </si>
  <si>
    <t>Solo Work 1-5</t>
  </si>
  <si>
    <t>Social Interaction 1-5</t>
  </si>
  <si>
    <t>Practical 1-5</t>
  </si>
  <si>
    <t>Theory/Math 1-5</t>
  </si>
  <si>
    <t>Immediate Project Use 1-5</t>
  </si>
  <si>
    <t>Marginal Value</t>
  </si>
  <si>
    <t>Can learn later?</t>
  </si>
  <si>
    <t>Best personal project synergy</t>
  </si>
  <si>
    <t>Main reason TO take</t>
  </si>
  <si>
    <t>Main reason NOT to take</t>
  </si>
  <si>
    <t>Confidence</t>
  </si>
  <si>
    <t>Evidence / Notes</t>
  </si>
  <si>
    <t>Source</t>
  </si>
  <si>
    <t>Interdisciplinary Introduction to Legal Tech - a Practical Seminar</t>
  </si>
  <si>
    <t>03660</t>
  </si>
  <si>
    <t>T0</t>
  </si>
  <si>
    <t>Fribourg / PER21</t>
  </si>
  <si>
    <t>[A2026] On appointment</t>
  </si>
  <si>
    <t>Seminar</t>
  </si>
  <si>
    <t>[A2026] Continuous evaluation; [ARCHIVE A2025 law page] 30% project presentation, 30% written paper, 40% closed-book exam</t>
  </si>
  <si>
    <t>Yes - interdisciplinary law + CS/BI groups [A2026]</t>
  </si>
  <si>
    <t>Functioning tool for a concrete legal task [A2026]</t>
  </si>
  <si>
    <t>Perte rare: contacts juridiques, langage métier, groupe interdisciplinaire et prototype LegalTech réel.</t>
  </si>
  <si>
    <t>Difficilement</t>
  </si>
  <si>
    <t>IA x droit / LegalTech</t>
  </si>
  <si>
    <t>Le seul cours qui transforme directement ton idée IA x règlements en outil avec des juristes.</t>
  </si>
  <si>
    <t>Calendrier A2026 encore sur rendez-vous; modalité d'examen 2026 non détaillée.</t>
  </si>
  <si>
    <t>Moyen</t>
  </si>
  <si>
    <t>[A2026] collaboration law-CS, projet concret et outil fonctionnel; [ARCHIVE A2025] évaluation mixte projet/paper/examen.</t>
  </si>
  <si>
    <t>https://mcs.unibnf.ch/courses/interdisciplinary-introduction-to-legal-tech-a-practical-seminar/ ; https://www.unifr.ch/ius/fr/etudes/coursexamens/cours-2025-26/mlaw-seminaires-2025-26/course/128308</t>
  </si>
  <si>
    <t>User Centered Design</t>
  </si>
  <si>
    <t>03018</t>
  </si>
  <si>
    <t>Fribourg / PER21 F130</t>
  </si>
  <si>
    <t>[A2026] Monday</t>
  </si>
  <si>
    <t>[A2026] 14:15-17:00</t>
  </si>
  <si>
    <t>[ARCHIVE] exam 60%, group mini-project 40%</t>
  </si>
  <si>
    <t>Yes - groups of 3 [ARCHIVE]</t>
  </si>
  <si>
    <t>Prototype + user study with at least 6 users + report/presentations [ARCHIVE]</t>
  </si>
  <si>
    <t>Tu perds le cadre académique pour tester ErgonomIA avec de vrais utilisateurs et itérer proprement.</t>
  </si>
  <si>
    <t>Probablement</t>
  </si>
  <si>
    <t>ErgonomIA</t>
  </si>
  <si>
    <t>Meilleur terrain pour ergonomie, prototypes, tests utilisateurs et confiance produit.</t>
  </si>
  <si>
    <t>Il reste un examen individuel et la valeur dépend du sérieux du groupe/projet.</t>
  </si>
  <si>
    <t>Élevé</t>
  </si>
  <si>
    <t>[A2026] HCI/UX, personas, prototypage, tests utilisateurs; [ARCHIVE] projet complet, deux présentations, tous les membres parlent.</t>
  </si>
  <si>
    <t>https://mcs.unibnf.ch/courses/user-centered-design/ ; contenue_cours/cours_human-centered-desing/UCD2025_project2025.pdf</t>
  </si>
  <si>
    <t>Entrepreneurship for Computer Scientists: From Startup Idea to Working Prototype</t>
  </si>
  <si>
    <t>03694</t>
  </si>
  <si>
    <t>Fribourg / BlueFactory + Prilly bootcamp</t>
  </si>
  <si>
    <t>[A2026] Tuesday evenings; bootcamp Friday 25.09.2026</t>
  </si>
  <si>
    <t>[A2026] 17:00-21:00 weekly; bootcamp 09:00-16:00</t>
  </si>
  <si>
    <t>[A2026] Continuous evaluation; working prototype + checkpoints + February demo</t>
  </si>
  <si>
    <t>Yes - bring a project or join a team [A2026]</t>
  </si>
  <si>
    <t>Working product prototype, software design document, live demo [A2026]</t>
  </si>
  <si>
    <t>Tu perds Venturelab, coaching startup, discipline de validation client et pression positive du prototype.</t>
  </si>
  <si>
    <t>Entrepreneuriat ErgonomIA ou LegalTech</t>
  </si>
  <si>
    <t>La meilleure valeur d'option entrepreneuriale si tu veux vraiment tester un projet cette année.</t>
  </si>
  <si>
    <t>Mange les mardis soir, ajoute une démo en février et demande une candidature compétitive.</t>
  </si>
  <si>
    <t>[A2026] 11 soirées Venturelab, coaching individuel, prototype logiciel obligatoire pour JMCS, candidature avant le 15.09.</t>
  </si>
  <si>
    <t>https://mcs.unibnf.ch/courses/entrepreneurship-for-computer-scientists-from-startup-idea-to-working-prototype/</t>
  </si>
  <si>
    <t>Fabrication and Prototyping in the LearningLab</t>
  </si>
  <si>
    <t>03117</t>
  </si>
  <si>
    <t>Fribourg / PER21 A200</t>
  </si>
  <si>
    <t>[A2026] Thursday</t>
  </si>
  <si>
    <t>[A2026] 13:15-16:00</t>
  </si>
  <si>
    <t>[A2026] Project-based with final oral examination; demo/documentation</t>
  </si>
  <si>
    <t>Yes - open group projects [A2026]</t>
  </si>
  <si>
    <t>Hardware/software prototype using Arduino/Raspberry Pi/3D fabrication [A2026]</t>
  </si>
  <si>
    <t>Tu perds un atelier encadré pour transformer ErgonomIA en objet manipulable et testable.</t>
  </si>
  <si>
    <t>ErgonomIA hardware/software</t>
  </si>
  <si>
    <t>Le meilleur cours pour fabriquer quelque chose de tangible autour interfaces, capteurs et claviers.</t>
  </si>
  <si>
    <t>Limité à 10 places; peut devenir très chronophage si le prototype dérive.</t>
  </si>
  <si>
    <t>[A2026] laboratoire pratique, groupes, Arduino/Raspberry Pi, conteneurs/services, capteurs/actuateurs, projet ouvert.</t>
  </si>
  <si>
    <t>https://mcs.unibnf.ch/courses/fabrication-and-prototyping-in-the-learninglab/</t>
  </si>
  <si>
    <t>Modeling and Scaling of Generative AI Systems</t>
  </si>
  <si>
    <t>02121 / 62121</t>
  </si>
  <si>
    <t>T0 / T6</t>
  </si>
  <si>
    <t>Neuchâtel / Unimail B104</t>
  </si>
  <si>
    <t>[A2026] Tuesday</t>
  </si>
  <si>
    <t>[A2026] 08:30-12:00</t>
  </si>
  <si>
    <t>[ARCHIVE] 3 individual homeworks 30%, group project 70%, no exam/no retake</t>
  </si>
  <si>
    <t>Yes - group project [ARCHIVE]</t>
  </si>
  <si>
    <t>Report + 20 min presentation on genAI system performance/scaling [ARCHIVE]</t>
  </si>
  <si>
    <t>Tu perds une compétence actuelle: mesurer coûts, latence, énergie et scalabilité de systèmes genAI/RAG.</t>
  </si>
  <si>
    <t>LegalTech IA et backend genAI</t>
  </si>
  <si>
    <t>Ajoute de la profondeur IA utile sans tomber dans un ML générique trop solitaire.</t>
  </si>
  <si>
    <t>Homeworks individuels, GPU, files d'attente et charge technique concentrée.</t>
  </si>
  <si>
    <t>[A2026] mardi matin UniNE; [ARCHIVE] labs diffusion/LLM/fine-tuning/queueing, projet groupe 70%, pas d'examen.</t>
  </si>
  <si>
    <t>https://mcs.unibnf.ch/courses/modeling-and-scaling-of-generative-ai-systems/ ; contenue_cours/HS2025_ 02121_62121 Modeling and Scaling of Generative AI Systems/Introduction_overview.pdf</t>
  </si>
  <si>
    <t>Advanced Software Engineering</t>
  </si>
  <si>
    <t>13000 / 63000</t>
  </si>
  <si>
    <t>T1 / T6</t>
  </si>
  <si>
    <t>Fribourg / RM02 S-1.117</t>
  </si>
  <si>
    <t>[A2026] Wednesday</t>
  </si>
  <si>
    <t>[A2026] 09:15-12:00</t>
  </si>
  <si>
    <t>[A2026] Not specified in detail</t>
  </si>
  <si>
    <t>Yes - practical software development in teams with weekly Scrum [A2026]</t>
  </si>
  <si>
    <t>Team software system around pattern recognition / ML / LLM / agentic systems [A2026]</t>
  </si>
  <si>
    <t>Tu perds une pratique collective d'ingénierie logiciel moderne autour de systèmes ML/agents.</t>
  </si>
  <si>
    <t>LegalTech ou ErgonomIA backend</t>
  </si>
  <si>
    <t>Bon compromis équipe + logiciel réutilisable si tu veux coder proprement avec d'autres.</t>
  </si>
  <si>
    <t>Moins rare que LegalTech/UCD; contenu exact du projet et évaluation peu détaillés.</t>
  </si>
  <si>
    <t>[A2026] développement en équipes, Scrum hebdomadaire, systèmes pattern recognition/ML/deep/LLM/agents.</t>
  </si>
  <si>
    <t>https://mcs.unibnf.ch/courses/advanced-software-engineering/</t>
  </si>
  <si>
    <t>Computing with Words</t>
  </si>
  <si>
    <t>53131 / 63131</t>
  </si>
  <si>
    <t>T5 / T6</t>
  </si>
  <si>
    <t>Fribourg / PER21 C130</t>
  </si>
  <si>
    <t>[A2026] 50% prototype, 25% exercises, 25% oral exam</t>
  </si>
  <si>
    <t>Yes - teams/pairs [A2026]</t>
  </si>
  <si>
    <t>Prototype converting words to fuzzy representation and back [A2026]</t>
  </si>
  <si>
    <t>Tu perds un angle original pour convertir langage vague en contraintes opérationnelles.</t>
  </si>
  <si>
    <t>LegalTech règles floues + ErgonomIA</t>
  </si>
  <si>
    <t>Très pertinent pour règlements ambigus et interfaces compréhensibles.</t>
  </si>
  <si>
    <t>Conflit direct avec UCD et seulement 10 places.</t>
  </si>
  <si>
    <t>[A2026] design studio démonstratif, prototypes Raspberry Pi, limite 10, conflit lundi avec UCD.</t>
  </si>
  <si>
    <t>https://mcs.unibnf.ch/courses/computing-with-words/</t>
  </si>
  <si>
    <t>Fuzzy Sets and Systems I</t>
  </si>
  <si>
    <t>53105 / 63105</t>
  </si>
  <si>
    <t>[A2026] Friday</t>
  </si>
  <si>
    <t>[ARCHIVE] 50% group project, 50% closed-book written exam with one A4 sheet</t>
  </si>
  <si>
    <t>Yes - groups of 2-3 [ARCHIVE]</t>
  </si>
  <si>
    <t>Fuzzy artefact/app, midterm/final presentations, code/report [ARCHIVE]</t>
  </si>
  <si>
    <t>Tu perds un cadre formel pour modéliser l'imprécision des règles, normes et préférences.</t>
  </si>
  <si>
    <t>LegalTech règles floues et décision sous incertitude</t>
  </si>
  <si>
    <t>Très bon pour transformer des règles vagues en artefacts explicables.</t>
  </si>
  <si>
    <t>Beaucoup de livrables + examen; conflit probable avec les exercices DS si l'horaire archive reste vrai.</t>
  </si>
  <si>
    <t>[A2026] vendredi 14:15; [ARCHIVE] nombreux jalons, projet groupe, programmation Python, présentations, examen.</t>
  </si>
  <si>
    <t>https://mcs.unibnf.ch/courses/fuzzy-sets-and-systems-i/ ; contenue_cours/HS2025_ 53105_63105 Fuzzy Sets and Systems I/0. Syllabus.pdf</t>
  </si>
  <si>
    <t>Distributed Systems / Systèmes concurrents et distribués</t>
  </si>
  <si>
    <t>Local: 3IN1044_25-26 / slides: IN.5022</t>
  </si>
  <si>
    <t>[?] Local UniFR/UniNE course; JMCS A2026 page not found</t>
  </si>
  <si>
    <t>[ARCHIVE] Fribourg + Neuchâtel streamed</t>
  </si>
  <si>
    <t>[?]</t>
  </si>
  <si>
    <t>[ARCHIVE] Friday</t>
  </si>
  <si>
    <t>[ARCHIVE] Lecture 09:15-11:00; exercises 14:15-16:00</t>
  </si>
  <si>
    <t>[ARCHIVE] UniFR: weekly exercises mandatory, mini-project 30%, written exam 70%</t>
  </si>
  <si>
    <t>Yes - mini-project groups of 2-3 [ARCHIVE]</t>
  </si>
  <si>
    <t>Distributed Erlang/Elixir application + report + 10 min demo [ARCHIVE]</t>
  </si>
  <si>
    <t>Verrouillé: socle backend/distribué pour prototypes robustes; sans lui, tu perds une base système concrète.</t>
  </si>
  <si>
    <t>ErgonomIA backend et LegalTech déployable</t>
  </si>
  <si>
    <t>Obligatoire pour toi et utile comme base système/projet distribué.</t>
  </si>
  <si>
    <t>Charge élevée, devoirs réguliers, examen fermé et vendredi potentiellement encombré.</t>
  </si>
  <si>
    <t>Élevé pour l'archive; Faible pour A2026 officiel</t>
  </si>
  <si>
    <t>[ARCHIVE] contenu réel riche: exercices, Elixir/Erlang, mini-projet, examen; [A2026] non trouvé dans la liste JMCS. Ne pas confondre avec Distributed Algorithms.</t>
  </si>
  <si>
    <t>contenue_cours/Course_Systmes_concurrents_et..._.690162/index.html ; Project.pdf ; about.html</t>
  </si>
  <si>
    <t>Seminar Urban Computing</t>
  </si>
  <si>
    <t>53678 / 63678</t>
  </si>
  <si>
    <t>Fribourg</t>
  </si>
  <si>
    <t>[A2026] 50% midterm/final presentations, 50% final scientific report</t>
  </si>
  <si>
    <t>Yes - preferably groups of 2 [A2026]</t>
  </si>
  <si>
    <t>Group project/report on citizen-centered urban computing [A2026]</t>
  </si>
  <si>
    <t>Tu perds un terrain social/civique pour services publics, infrastructures et technologies centrées citoyens.</t>
  </si>
  <si>
    <t>LegalTech administratif / services publics</t>
  </si>
  <si>
    <t>Très bon pour semestre social et soutenable avec thème public/collectif.</t>
  </si>
  <si>
    <t>Moins directement prototypage IA; dépend fortement du sujet choisi.</t>
  </si>
  <si>
    <t>[A2026] séminaire groupe, présentations, rapport, citoyens/services publics; horaire sur rendez-vous.</t>
  </si>
  <si>
    <t>https://mcs.unibnf.ch/courses/seminar-urban-computing/</t>
  </si>
  <si>
    <t>Big Data Infrastructures</t>
  </si>
  <si>
    <t>63021</t>
  </si>
  <si>
    <t>T6</t>
  </si>
  <si>
    <t>Fribourg / PER21 A140</t>
  </si>
  <si>
    <t>[?] Not detailed on A2026 page</t>
  </si>
  <si>
    <t>[?] Hands-on programming but group work not stated</t>
  </si>
  <si>
    <t>Programming-oriented work around DB/NoSQL/Hadoop infrastructures [A2026]</t>
  </si>
  <si>
    <t>Tu perds une compréhension d'infrastructures données distribuées pour backends solides.</t>
  </si>
  <si>
    <t>Oui</t>
  </si>
  <si>
    <t>Backend LegalTech / ErgonomIA</t>
  </si>
  <si>
    <t>Renforce les fondations data/backend avec pratique.</t>
  </si>
  <si>
    <t>Redondance partielle avec Distributed Systems et moins de dimension humaine.</t>
  </si>
  <si>
    <t>Faible</t>
  </si>
  <si>
    <t>[A2026] infrastructures big data, transactions distribuées, NoSQL/Hadoop, programmation importante; évaluation non détaillée.</t>
  </si>
  <si>
    <t>https://mcs.unibnf.ch/courses/big-data-infrastructures/</t>
  </si>
  <si>
    <t>Machine Learning and Data Mining</t>
  </si>
  <si>
    <t>42032 / 62032</t>
  </si>
  <si>
    <t>T4 / T6</t>
  </si>
  <si>
    <t>Neuchâtel / Unimail B103</t>
  </si>
  <si>
    <t>[A2026] 08:45-12:00</t>
  </si>
  <si>
    <t>[?] A2026 not detailed; [ARCHIVE] exercises/slides only</t>
  </si>
  <si>
    <t>[?] Practical exercises, group project not evidenced</t>
  </si>
  <si>
    <t>Practical exercises supporting ML/data mining theory [A2026]</t>
  </si>
  <si>
    <t>Tu perds un socle ML large pour classification, clustering, data streams et décision.</t>
  </si>
  <si>
    <t>ML &amp; décision sous incertitude</t>
  </si>
  <si>
    <t>Utile si tu veux combler une base ML large et structurée.</t>
  </si>
  <si>
    <t>Valeur marginale moins rare: probablement beaucoup de travail individuel et contenu apprenable seul.</t>
  </si>
  <si>
    <t>[A2026] ML/data mining + practical exercises; [ARCHIVE] contenu large incluant RL/bandits mais pas modalité de projet.</t>
  </si>
  <si>
    <t>https://mcs.unibnf.ch/courses/machine-learning-and-data-mining/ ; contenue_cours/HS2025_ 42032_62032 Machine Learning and Data Mining/Course Content.pdf</t>
  </si>
  <si>
    <t>Seminar Data Science</t>
  </si>
  <si>
    <t>63666</t>
  </si>
  <si>
    <t>[A2026] Continuous evaluation; [ARCHIVE external] report/presentation/library integration</t>
  </si>
  <si>
    <t>[I] Mostly individual technical seminar unless arranged otherwise</t>
  </si>
  <si>
    <t>Paper/report, presentation, algorithm integration/benchmark [ARCHIVE external]</t>
  </si>
  <si>
    <t>Tu perds un cas pratique de time-series imputation, utile météo/capteurs/agri.</t>
  </si>
  <si>
    <t>ML &amp; décision météo/agri</t>
  </si>
  <si>
    <t>Plus ciblé que MLDM si ton angle est données temporelles et capteurs.</t>
  </si>
  <si>
    <t>Séminaire technique moins social; source externe 2025 seulement pour le format détaillé.</t>
  </si>
  <si>
    <t>[A2026] time series imputation; [ARCHIVE external 2025] rapport, présentation 30 min, intégration librairie, tests.</t>
  </si>
  <si>
    <t>https://mcs.unibnf.ch/courses/seminar-data-science/ ; https://exascale.info/courses/ds/</t>
  </si>
  <si>
    <t>Seminar Trustworthy AI Models and Systems</t>
  </si>
  <si>
    <t>62677</t>
  </si>
  <si>
    <t>Neuchâtel / B217</t>
  </si>
  <si>
    <t>[A2026] 14:15-18:00</t>
  </si>
  <si>
    <t>[A2026] Continuous evaluation</t>
  </si>
  <si>
    <t>[?] likely seminar output; details sparse</t>
  </si>
  <si>
    <t>Tu perds un angle confiance/robustesse IA potentiellement utile aux outils juridiques.</t>
  </si>
  <si>
    <t>LegalTech IA fiable</t>
  </si>
  <si>
    <t>Pertinent si tu veux crédibilité, risques et confiance des systèmes IA.</t>
  </si>
  <si>
    <t>Détails pédagogiques faibles et mardi très long si combiné avec MSGAI.</t>
  </si>
  <si>
    <t>[A2026] page officielle très peu détaillée, horaire mardi après-midi.</t>
  </si>
  <si>
    <t>https://mcs.unibnf.ch/courses/seminar-trustworthy-ai-models-and-systems/</t>
  </si>
  <si>
    <t>Seminar Human-Computer Interaction I</t>
  </si>
  <si>
    <t>33671 / 63671</t>
  </si>
  <si>
    <t>T3 / T6</t>
  </si>
  <si>
    <t>[I] Discussion/presentation seminar; group project not evidenced</t>
  </si>
  <si>
    <t>Scientific article-style write-up + presentation on HCI research topic [A2026]</t>
  </si>
  <si>
    <t>Tu perds une exploration HCI scientifique, mais UCD couvre mieux ton besoin prototype/utilisateurs.</t>
  </si>
  <si>
    <t>ErgonomIA recherche HCI</t>
  </si>
  <si>
    <t>Bon si tu veux lire, présenter et écrire sur un sujet HCI pointu.</t>
  </si>
  <si>
    <t>Moins concret et moins directement portfolio que UCD.</t>
  </si>
  <si>
    <t>[A2026] review/discuss/present/write state-of-the-art HCI; détails sur rendez-vous.</t>
  </si>
  <si>
    <t>https://mcs.unibnf.ch/courses/seminar-human-computer-interaction-i/ ; https://hci-seminar.human-ist.ch</t>
  </si>
  <si>
    <t>Seminar Generative AI</t>
  </si>
  <si>
    <t>33668 / 63668</t>
  </si>
  <si>
    <t>[?] seminar output; details sparse</t>
  </si>
  <si>
    <t>Tu perds un séminaire GenAI potentiellement actuel, mais moins documenté que MSGAI.</t>
  </si>
  <si>
    <t>LegalTech genAI</t>
  </si>
  <si>
    <t>Option flexible si un sujet colle exactement à ton prototype.</t>
  </si>
  <si>
    <t>Trop peu d'information pour le préférer à MSGAI ou LegalTech.</t>
  </si>
  <si>
    <t>[A2026] page officielle minimale; pas de preuve de prototype ou groupe.</t>
  </si>
  <si>
    <t>https://mcs.unibnf.ch/courses/seminar-generative-ai-2/</t>
  </si>
  <si>
    <t>Mathematical Modeling and Linear Optimization</t>
  </si>
  <si>
    <t>53073</t>
  </si>
  <si>
    <t>T5</t>
  </si>
  <si>
    <t>Fribourg / PER21 E040</t>
  </si>
  <si>
    <t>Modeling exercises around LP/MILP/IP and optimization [A2026]</t>
  </si>
  <si>
    <t>Tu perds la capacité formelle de traduire règles/contraintes en programmes linéaires.</t>
  </si>
  <si>
    <t>LegalTech contraintes / ML décision</t>
  </si>
  <si>
    <t>Utile pour règlement -&gt; contraintes opérationnelles et décision optimisée.</t>
  </si>
  <si>
    <t>Conflit avec UCD et probablement plus solitaire/mathématique.</t>
  </si>
  <si>
    <t>[A2026] LP/MILP/IP, branch-and-bound, polyhedral theory, cutting planes; horaire lundi.</t>
  </si>
  <si>
    <t>https://mcs.unibnf.ch/courses/mathematical-modeling-and-linear-optimization/</t>
  </si>
  <si>
    <t>Applied Optimization</t>
  </si>
  <si>
    <t>31099 / 61099</t>
  </si>
  <si>
    <t>Bern / Engehalde E8 111</t>
  </si>
  <si>
    <t>[?] C++ exercises; group work not evidenced</t>
  </si>
  <si>
    <t>Numerical optimization exercises/projects in C++ [A2026]</t>
  </si>
  <si>
    <t>Tu perds une compétence technique forte en optimisation numérique appliquée.</t>
  </si>
  <si>
    <t>Très bon pour croissance math/optimisation dure.</t>
  </si>
  <si>
    <t>Conflit avec MLDM, déplacement Berne, faible dimension collective pour ton profil.</t>
  </si>
  <si>
    <t>[A2026] Thursday morning Bern; convexity, Lagrange duality, constrained/unconstrained methods, C++ exercises.</t>
  </si>
  <si>
    <t>https://mcs.unibnf.ch/courses/applied-optimization/</t>
  </si>
  <si>
    <t>Distributed Algorithms</t>
  </si>
  <si>
    <t>11102 / 41102</t>
  </si>
  <si>
    <t>T1 / T4</t>
  </si>
  <si>
    <t>Bern / Engehalde E8 002</t>
  </si>
  <si>
    <t>Theoretical distributed algorithms work [A2026]</t>
  </si>
  <si>
    <t>Tu perds de la théorie distribuée avancée, mais elle recoupe le cours verrouillé et sert moins tes projets sociaux.</t>
  </si>
  <si>
    <t>Backend distribué</t>
  </si>
  <si>
    <t>Approfondit consensus, Byzantine, replication, blockchain.</t>
  </si>
  <si>
    <t>Ce n'est pas ton Distributed Systems obligatoire; redondant, théorique et à Berne.</t>
  </si>
  <si>
    <t>[A2026] cours distinct à Berne. Ne pas confondre avec le cours local Distributed Systems/Systèmes concurrents et distribués.</t>
  </si>
  <si>
    <t>https://mcs.unibnf.ch/courses/distributed-algorithms/</t>
  </si>
  <si>
    <t>Topological Data Analysis</t>
  </si>
  <si>
    <t>63133</t>
  </si>
  <si>
    <t>Tu perds une compétence math/data spécialisée, probablement peu marginale pour tes objectifs actuels.</t>
  </si>
  <si>
    <t>ML &amp; décision, très indirect</t>
  </si>
  <si>
    <t>Culture math/data originale si tu veux explorer la topologie appliquée.</t>
  </si>
  <si>
    <t>Très peu aligné avec prototype, collectif et qualité de vie.</t>
  </si>
  <si>
    <t>[A2026] page officielle peu détaillée; conflit horaire avec Big Data.</t>
  </si>
  <si>
    <t>https://mcs.unibnf.ch/courses/topological-data-analysis/</t>
  </si>
  <si>
    <t>Portfolio Comparison</t>
  </si>
  <si>
    <t>Tous les portfolios contiennent Distributed Systems en Course 1. Le score est un Semester Fit, pas une moyenne naïve.</t>
  </si>
  <si>
    <t>Portfolio</t>
  </si>
  <si>
    <t>Scenario</t>
  </si>
  <si>
    <t>Course 1 (locked)</t>
  </si>
  <si>
    <t>Course 2</t>
  </si>
  <si>
    <t>Course 3</t>
  </si>
  <si>
    <t>Course 4</t>
  </si>
  <si>
    <t>Semester Fit /100</t>
  </si>
  <si>
    <t>Global workload</t>
  </si>
  <si>
    <t>Collective degree</t>
  </si>
  <si>
    <t>Schedule / travel risk</t>
  </si>
  <si>
    <t>Principal advantage</t>
  </si>
  <si>
    <t>Principal cost</t>
  </si>
  <si>
    <t>What I might regret</t>
  </si>
  <si>
    <t>Difference vs others</t>
  </si>
  <si>
    <t>Recommendation status</t>
  </si>
  <si>
    <t>A</t>
  </si>
  <si>
    <t>Best overall fit</t>
  </si>
  <si>
    <t>3.7/5 - soutenable mais exigeant</t>
  </si>
  <si>
    <t>4.0/5</t>
  </si>
  <si>
    <t>Aucun conflit A2026 connu; Legal Tech sur rendez-vous; DS horaire archive vendredi à confirmer.</t>
  </si>
  <si>
    <t>Équilibre rare: projet légal, vrais utilisateurs, IA systèmes, socle distribué.</t>
  </si>
  <si>
    <t>Trois cours peuvent produire des livrables de groupe; MSGAI ajoute des homeworks techniques.</t>
  </si>
  <si>
    <t>Tu peux regretter de ne pas avoir pris Venturelab ou Fabrication si l'envie startup/maker devient dominante.</t>
  </si>
  <si>
    <t>Maximise projets + apprentissage sans transformer tout le semestre en startup bootcamp.</t>
  </si>
  <si>
    <t>Oui - choix final</t>
  </si>
  <si>
    <t>B</t>
  </si>
  <si>
    <t>Builder / Entrepreneur</t>
  </si>
  <si>
    <t>4.4/5 - très chargé</t>
  </si>
  <si>
    <t>5.0/5</t>
  </si>
  <si>
    <t>Bootcamp Entrepreneurship vendredi 25.09.2026 peut heurter DS archive; mardis soirs pris; Fabrication jeudi après-midi.</t>
  </si>
  <si>
    <t>Maximum action: prototype, démo, coaching, équipes, droit et hardware/software.</t>
  </si>
  <si>
    <t>Très haut coût de vie: soirées, pression de démo, risque d'éparpillement entre prototypes.</t>
  </si>
  <si>
    <t>Tu risques de perdre profondeur IA et méthode UCD structurée.</t>
  </si>
  <si>
    <t>Pari entrepreneurial assumé, pas le meilleur choix si tu veux garder des soirées libres.</t>
  </si>
  <si>
    <t>Remplaçant 1 selon priorité startup</t>
  </si>
  <si>
    <t>C</t>
  </si>
  <si>
    <t>AI + Decision Making</t>
  </si>
  <si>
    <t>4.1/5 - lourd et plus solitaire</t>
  </si>
  <si>
    <t>2.2/5</t>
  </si>
  <si>
    <t>Pas de conflit direct connu; lundi Fribourg, mardi Neuchâtel, jeudi Neuchâtel, vendredi DS archive.</t>
  </si>
  <si>
    <t>Très fort socle modèles, data, systèmes IA et optimisation pour décisions sous contraintes.</t>
  </si>
  <si>
    <t>Peu de rencontres, peu d'interdisciplinarité, plus de math/exercices individuels.</t>
  </si>
  <si>
    <t>Tu risques surtout de regretter Legal Tech et UCD, qui sont plus rares pour ta trajectoire.</t>
  </si>
  <si>
    <t>Le plus 'compétences techniques', mais pas celui du semestre que tu décris vouloir vivre.</t>
  </si>
  <si>
    <t>Non - option technique</t>
  </si>
  <si>
    <t>D</t>
  </si>
  <si>
    <t>Social / Sustainable Semester</t>
  </si>
  <si>
    <t>3.2/5 - le plus respirable</t>
  </si>
  <si>
    <t>4.5/5</t>
  </si>
  <si>
    <t>Deux séminaires sur rendez-vous à confirmer; UCD lundi; DS vendredi archive.</t>
  </si>
  <si>
    <t>Beaucoup d'interactions, d'utilisateurs, de sujets publics et de livrables discutables avec d'autres.</t>
  </si>
  <si>
    <t>Moins de profondeur technique IA/ML immédiate.</t>
  </si>
  <si>
    <t>Tu peux regretter de ne pas avoir profité de MSGAI pendant que le sujet est très actuel.</t>
  </si>
  <si>
    <t>Priorise la vie sociale, les projets collectifs et l'énergie disponible.</t>
  </si>
  <si>
    <t>Alternative très sérieuse</t>
  </si>
  <si>
    <t>E</t>
  </si>
  <si>
    <t>Technical Growth</t>
  </si>
  <si>
    <t>4.0/5 - technique dense</t>
  </si>
  <si>
    <t>3.0/5</t>
  </si>
  <si>
    <t>Mercredi Fribourg très rempli avec ASE matin + Big Data après-midi; mardi Neuchâtel; vendredi DS archive.</t>
  </si>
  <si>
    <t>Très solide croissance CS: systèmes distribués, data infra, genAI scaling, équipe logiciel.</t>
  </si>
  <si>
    <t>Redondance système/data et faible valeur juridique/sociale.</t>
  </si>
  <si>
    <t>Tu risques de finir compétent mais moins nourri humainement.</t>
  </si>
  <si>
    <t>Le meilleur si tu veux optimiser la profondeur CS pure, pas ton équilibre global.</t>
  </si>
  <si>
    <t>Non - croissance technique</t>
  </si>
  <si>
    <t>QC</t>
  </si>
  <si>
    <t>Distributed Systems in all portfolios?</t>
  </si>
  <si>
    <t>Known conflicts handled?</t>
  </si>
  <si>
    <t>Voir notes: UCD/CwW/MathOpt, MLDM/AppliedOpt, DS archive/Fuzzy, Entrepreneurship bootcamp/DS archive.</t>
  </si>
  <si>
    <t>Final portfolio</t>
  </si>
  <si>
    <t>Synergy Matrix</t>
  </si>
  <si>
    <t>Échelle: +2 forte synergie, +1 utile, 0 neutre, -1 redondance/risque, -2 conflit horaire ou mauvais fit combinatoire.</t>
  </si>
  <si>
    <t>Distributed Systems</t>
  </si>
  <si>
    <t>Legal Tech</t>
  </si>
  <si>
    <t>MSGAI</t>
  </si>
  <si>
    <t>Entrepreneurship</t>
  </si>
  <si>
    <t>Fabrication</t>
  </si>
  <si>
    <t>Advanced SE</t>
  </si>
  <si>
    <t>Fuzzy Sets</t>
  </si>
  <si>
    <t>MLDM</t>
  </si>
  <si>
    <t>Big Data</t>
  </si>
  <si>
    <t>Urban Computing</t>
  </si>
  <si>
    <t>Math/Linear Opt</t>
  </si>
  <si>
    <t>Main interpretation</t>
  </si>
  <si>
    <t>Verrouillé; bon socle backend, mais éviter surcharge vendredi/overlap distribué.</t>
  </si>
  <si>
    <t>Noyau stratégique: se combine très bien avec UCD, Entrepreneurship, Fuzzy/CwW.</t>
  </si>
  <si>
    <t>Meilleur complément ErgonomIA; conflit direct avec CwW et Math/Linear Opt.</t>
  </si>
  <si>
    <t>Profondeur IA systèmes; bon complément technique au trio social/projet.</t>
  </si>
  <si>
    <t>Synergie maximale avec Legal/Fabrication/UCD mais fort coût de vie.</t>
  </si>
  <si>
    <t>Excellent si ErgonomIA doit devenir tangible; très collectif.</t>
  </si>
  <si>
    <t>Bon complément software équipe, moins rare.</t>
  </si>
  <si>
    <t>Très bon pour règles vagues, mais risque horaire DS vendredi.</t>
  </si>
  <si>
    <t>Très bon règles/langage, mais conflit UCD.</t>
  </si>
  <si>
    <t>Base ML utile, moins sociale; ne pas empiler avec Applied Opt à cause conflit.</t>
  </si>
  <si>
    <t>Renforce backend/data, mais recoupe DS.</t>
  </si>
  <si>
    <t>Alternative sociale/soutenable avec angle public.</t>
  </si>
  <si>
    <t>Bon pour règlement -&gt; contraintes; conflit UCD/CwW.</t>
  </si>
  <si>
    <t>Techniquement fort mais Bern + conflit MLDM.</t>
  </si>
  <si>
    <t>Evidence</t>
  </si>
  <si>
    <t>Traçabilité des conclusions. Les archives locales priment pour la pédagogie réelle; les pages A2026 priment pour existence, horaires, enseignants, lieux.</t>
  </si>
  <si>
    <t>Local folder</t>
  </si>
  <si>
    <t>Archive / file inspected</t>
  </si>
  <si>
    <t>Academic year</t>
  </si>
  <si>
    <t>Evidence type</t>
  </si>
  <si>
    <t>Observed teaching format</t>
  </si>
  <si>
    <t>Observed assignments</t>
  </si>
  <si>
    <t>Observed group work</t>
  </si>
  <si>
    <t>Observed examination</t>
  </si>
  <si>
    <t>Observed workload clues</t>
  </si>
  <si>
    <t>A2026 confirmation</t>
  </si>
  <si>
    <t>Notes</t>
  </si>
  <si>
    <t>contenue_cours/Course_Systmes_concurrents_et..._.690162</t>
  </si>
  <si>
    <t>about.html</t>
  </si>
  <si>
    <t>ARCHIVE 2025-26</t>
  </si>
  <si>
    <t>Local Moodle HTML</t>
  </si>
  <si>
    <t>Théorie + exercices + mini-projet distribué</t>
  </si>
  <si>
    <t>Leader election, mutual exclusion, logical time, graph algorithms, consensus; Erlang/Elixir</t>
  </si>
  <si>
    <t>Bonnes compétences de programmation requises</t>
  </si>
  <si>
    <t>A2026 JMCS non trouvé; verrouillé par l'utilisateur</t>
  </si>
  <si>
    <t>Élevé archive</t>
  </si>
  <si>
    <t>Identifie le cours local, distinct de Distributed Algorithms.</t>
  </si>
  <si>
    <t>index.html</t>
  </si>
  <si>
    <t>ARCHIVE 2025</t>
  </si>
  <si>
    <t>Cours vendredi matin; exercices vendredi après-midi; sessions projet en nov/déc</t>
  </si>
  <si>
    <t>7 séries; mini-projet; présentations 19.12.2025</t>
  </si>
  <si>
    <t>[I] exercices/projet collaboratifs</t>
  </si>
  <si>
    <t>Rythme hebdomadaire + vendredi très chargé</t>
  </si>
  <si>
    <t>A2026 non confirmé sur liste officielle</t>
  </si>
  <si>
    <t>Horaire archive seulement, à ne pas traiter comme horaire A2026.</t>
  </si>
  <si>
    <t>00-Introduction.pdf</t>
  </si>
  <si>
    <t>Slides PDF</t>
  </si>
  <si>
    <t>Cours + exercices hebdomadaires</t>
  </si>
  <si>
    <t>Assignments Moodle corrigés pass/fail; exercices Erlang/Elixir/Livebook/Docker</t>
  </si>
  <si>
    <t>Mini-projet mentionné</t>
  </si>
  <si>
    <t>UniFR: mini-project 30%, written exam 70%; exercices obligatoires 6/8</t>
  </si>
  <si>
    <t>Deadlines généralement avant session suivante</t>
  </si>
  <si>
    <t>A2026 non confirmé</t>
  </si>
  <si>
    <t>Évaluation exacte peut dépendre de l'université/site.</t>
  </si>
  <si>
    <t>Project.pdf</t>
  </si>
  <si>
    <t>Project brief PDF</t>
  </si>
  <si>
    <t>Support projet chaque vendredi fin semestre</t>
  </si>
  <si>
    <t>Proposition 2 pages, code archive, rapport &lt;=10 pages, présentation/demo 10 min</t>
  </si>
  <si>
    <t>Groupes de 3 préférés ou 2</t>
  </si>
  <si>
    <t>Projet obligatoire UniFR; mini-projet 30%</t>
  </si>
  <si>
    <t>Jalons serrés 07.11-19.12</t>
  </si>
  <si>
    <t>Très exploitable pour prototype distribué ErgonomIA/LegalTech.</t>
  </si>
  <si>
    <t>Projects.html + More project ideas</t>
  </si>
  <si>
    <t>Moodle HTML</t>
  </si>
  <si>
    <t>Liste d'idées libres ou guidées</t>
  </si>
  <si>
    <t>DHT, CRDT collaborative app, messaging, DB, logging, file exchange, blockchain</t>
  </si>
  <si>
    <t>Oui probable</t>
  </si>
  <si>
    <t>Projet</t>
  </si>
  <si>
    <t>Liberté de choisir un sujet mais scope distribué réel</t>
  </si>
  <si>
    <t>Possibilité de proposer son propre sujet.</t>
  </si>
  <si>
    <t>vc.zip</t>
  </si>
  <si>
    <t>ARCHIVE</t>
  </si>
  <si>
    <t>ZIP code inspected</t>
  </si>
  <si>
    <t>Exercice Elixir/Mix</t>
  </si>
  <si>
    <t>Vector clocks implementation scaffold</t>
  </si>
  <si>
    <t>Preuve de programmation concrète</t>
  </si>
  <si>
    <t>Archive compressée inspectée avec unzip; contient mix.exs, README, lib/vc.ex.</t>
  </si>
  <si>
    <t>contenue_cours/HS2025_ 02121_62121 Modeling and Scaling of Generative AI Systems</t>
  </si>
  <si>
    <t>Introduction_overview.pdf</t>
  </si>
  <si>
    <t>Labs + homeworks + group project</t>
  </si>
  <si>
    <t>3 homeworks; proposal week 6; project meeting week 10; report/presentation week 14</t>
  </si>
  <si>
    <t>Oui, projet groupe 70%</t>
  </si>
  <si>
    <t>No exam / no retakes [ARCHIVE]</t>
  </si>
  <si>
    <t>Projet long + homeworks; performance/cost/energy/latency</t>
  </si>
  <si>
    <t>A2026: Tue 08:30-12 UniNE, code 02121/62121</t>
  </si>
  <si>
    <t>Assessment archive forte mais 2026 peut changer.</t>
  </si>
  <si>
    <t>lab_1_diffusion_slides.pdf</t>
  </si>
  <si>
    <t>Six labs techniques</t>
  </si>
  <si>
    <t>Diffusion DDPM/DDIM, discrete transformers, LLM fine-tuning, job generation, performance analysis; GPU needed</t>
  </si>
  <si>
    <t>Homeworks linked to labs</t>
  </si>
  <si>
    <t>HW2 said to take long; GPU dependency</t>
  </si>
  <si>
    <t>A2026 official topics include queueing/resource management</t>
  </si>
  <si>
    <t>Charge technique non négligeable.</t>
  </si>
  <si>
    <t>Lab_4_slides_Adaptation.pptx</t>
  </si>
  <si>
    <t>PPTX extracted</t>
  </si>
  <si>
    <t>Prompting/fine-tuning/RAG-adjacent adaptation</t>
  </si>
  <si>
    <t>Few-shot, CoT, LoRA/fine-tuning</t>
  </si>
  <si>
    <t>Compétences directement utiles aux prototypes LLM</t>
  </si>
  <si>
    <t>A2026 official genAI systems</t>
  </si>
  <si>
    <t>PPTX inspecté via extraction texte.</t>
  </si>
  <si>
    <t>contenue_cours/cours_human-centered-desing</t>
  </si>
  <si>
    <t>UCD2025_project2025.pdf</t>
  </si>
  <si>
    <t>Projet UCD complet par groupes</t>
  </si>
  <si>
    <t>Questionnaires/interviews, personas, design rationale, low-fi prototype, evaluation plan, 6 users, analysis</t>
  </si>
  <si>
    <t>Groupes de 3; tous parlent</t>
  </si>
  <si>
    <t>Project 40% [ARCHIVE]</t>
  </si>
  <si>
    <t>7 jalons + 2 présentations</t>
  </si>
  <si>
    <t>A2026: Monday 14:15-17 UniFR</t>
  </si>
  <si>
    <t>Meilleur terrain ErgonomIA.</t>
  </si>
  <si>
    <t>UCD2025_10.pdf</t>
  </si>
  <si>
    <t>Wrap-up + exam details</t>
  </si>
  <si>
    <t>Final report + final presentation</t>
  </si>
  <si>
    <t>Exam 60%, in presence, 1h, one handwritten A4</t>
  </si>
  <si>
    <t>Projet + examen</t>
  </si>
  <si>
    <t>A2026 official HCI/UX/testing schedule</t>
  </si>
  <si>
    <t>Empêche de le scorer comme purement léger.</t>
  </si>
  <si>
    <t>UCD2025_02-09 PDFs</t>
  </si>
  <si>
    <t>Slides PDFs</t>
  </si>
  <si>
    <t>Human factors, UX, prototyping, testing</t>
  </si>
  <si>
    <t>Fitts/Hick, cognition, accessibility, multimodal, user testing</t>
  </si>
  <si>
    <t>Apprentissage réutilisable pour interfaces</t>
  </si>
  <si>
    <t>A2026 confirms personas, prototyping, user testing</t>
  </si>
  <si>
    <t>Contenu très aligné ErgonomIA.</t>
  </si>
  <si>
    <t>contenue_cours/HS2025_ 53105_63105 Fuzzy Sets and Systems I</t>
  </si>
  <si>
    <t>0. Syllabus.pdf</t>
  </si>
  <si>
    <t>Syllabus PDF</t>
  </si>
  <si>
    <t>Lectures + programming tutorial + group project + presentations</t>
  </si>
  <si>
    <t>Design dash, Python/GitHub tutorial, midterm, evaluation model, implementation/code/report, individual contribution report</t>
  </si>
  <si>
    <t>Groupes de 2-3</t>
  </si>
  <si>
    <t>Project 50%, closed-book written exam 50%</t>
  </si>
  <si>
    <t>Nombreux livrables, late deliverables penalized</t>
  </si>
  <si>
    <t>A2026: Friday 14:15-17 UniFR; teacher Edy Portmann</t>
  </si>
  <si>
    <t>Conflit probable avec DS archive exercises vendredi après-midi.</t>
  </si>
  <si>
    <t>FSSI_S0_AT25.pdf</t>
  </si>
  <si>
    <t>Kickoff slides</t>
  </si>
  <si>
    <t>Icebreaker + group project + artifact</t>
  </si>
  <si>
    <t>Prototype/artifact, programming tutorial, presentations</t>
  </si>
  <si>
    <t>50/50 project/exam</t>
  </si>
  <si>
    <t>Projet soutenu mais jalonné</t>
  </si>
  <si>
    <t>A2026 page aligns group artefact outcome</t>
  </si>
  <si>
    <t>Pertinent règles vagues, mais pas recommandé si DS vendredi reste identique.</t>
  </si>
  <si>
    <t>contenue_cours/HS2025_ 42032_62032 Machine Learning and Data Mining</t>
  </si>
  <si>
    <t>Course Content.pdf</t>
  </si>
  <si>
    <t>Cours large ML/data mining</t>
  </si>
  <si>
    <t>kNN, perceptron/linear, MLP, trees, bagging/boosting, SVM, SGD, EM, Monte Carlo</t>
  </si>
  <si>
    <t>Fondamental mais probablement travail individuel</t>
  </si>
  <si>
    <t>A2026: Thu 08:45-12 UniNE</t>
  </si>
  <si>
    <t>Valeur marginale modérée malgré pertinence ML.</t>
  </si>
  <si>
    <t>RL.pdf</t>
  </si>
  <si>
    <t>Module sur décision/RL</t>
  </si>
  <si>
    <t>Bandits, UCB, Thompson sampling, MDP, Bellman, Sarsa/Q-learning</t>
  </si>
  <si>
    <t>Directement relié décision sous incertitude</t>
  </si>
  <si>
    <t>A2026 official topics focus ML/data mining</t>
  </si>
  <si>
    <t>Intéressant mais pas forcément un projet collectif.</t>
  </si>
  <si>
    <t>No local folder</t>
  </si>
  <si>
    <t>A2026 official page</t>
  </si>
  <si>
    <t>A2026</t>
  </si>
  <si>
    <t>Official web</t>
  </si>
  <si>
    <t>Intro interdisciplinary then practical project groups</t>
  </si>
  <si>
    <t>Functioning tool for specific legal task</t>
  </si>
  <si>
    <t>Law + CS/BI teams</t>
  </si>
  <si>
    <t>Continuous evaluation; details not specified</t>
  </si>
  <si>
    <t>Calendar on appointment</t>
  </si>
  <si>
    <t>Confirmed A2026 Fribourg PER21 T0</t>
  </si>
  <si>
    <t>Confirme que ton intuition LegalTech est solide.</t>
  </si>
  <si>
    <t>UniFR law course page 2025-26</t>
  </si>
  <si>
    <t>Official archive web</t>
  </si>
  <si>
    <t>LegalTech seminar law faculty</t>
  </si>
  <si>
    <t>Project/paper/exam structure</t>
  </si>
  <si>
    <t>Project presentation</t>
  </si>
  <si>
    <t>30% presentation, 30% written paper, 40% closed-book exam</t>
  </si>
  <si>
    <t>Examen possible à ne pas ignorer</t>
  </si>
  <si>
    <t>A2026 JMCS page differs in teachers/code</t>
  </si>
  <si>
    <t>À utiliser comme indice, pas comme garantie 2026.</t>
  </si>
  <si>
    <t>Entrepreneurship for Computer Scientists</t>
  </si>
  <si>
    <t>Venturelab/Innosuisse Business Concept + JMCS software prototype</t>
  </si>
  <si>
    <t>11 evening sessions, coaching, design doc, vertical slice, demo Feb 2027</t>
  </si>
  <si>
    <t>Bring project or join team</t>
  </si>
  <si>
    <t>Continuous; prototype/checkpoints/demo</t>
  </si>
  <si>
    <t>High due Tuesday evenings + February demo + application</t>
  </si>
  <si>
    <t>Confirmed A2026</t>
  </si>
  <si>
    <t>Forte valeur d'option, mais coût de qualité de vie élevé.</t>
  </si>
  <si>
    <t>LearningLab experiments then open group projects</t>
  </si>
  <si>
    <t>Arduino, Raspberry Pi, 3D fabrication, sensors/actuators, containers/services</t>
  </si>
  <si>
    <t>Group projects</t>
  </si>
  <si>
    <t>Project-based final oral examination</t>
  </si>
  <si>
    <t>Limited to 10; practical work can expand</t>
  </si>
  <si>
    <t>Confirmed A2026 Thu 13:15-16</t>
  </si>
  <si>
    <t>Très fort pour ErgonomIA tangible.</t>
  </si>
  <si>
    <t>Theory + practical team software development</t>
  </si>
  <si>
    <t>Pattern recognition, ML/deep/LLM/agentic systems; weekly Scrum</t>
  </si>
  <si>
    <t>Team work confirmed</t>
  </si>
  <si>
    <t>[?] not detailed</t>
  </si>
  <si>
    <t>Moderate workload; project exact scope unknown</t>
  </si>
  <si>
    <t>Confirmed A2026 Wed 09:15-12</t>
  </si>
  <si>
    <t>Bon remplaçant software collectif.</t>
  </si>
  <si>
    <t>Demo-driven design studio</t>
  </si>
  <si>
    <t>Fuzzy NL representation, Raspberry Pi prototypes, exercises</t>
  </si>
  <si>
    <t>Teams/pairs</t>
  </si>
  <si>
    <t>50% prototype, 25% exercises, 25% oral exam</t>
  </si>
  <si>
    <t>Limited 10; conflict UCD Monday</t>
  </si>
  <si>
    <t>Confirmed A2026 Mon 14:15-17</t>
  </si>
  <si>
    <t>Très intéressant mais UCD est prioritaire pour ErgonomIA.</t>
  </si>
  <si>
    <t>Big data systems/infrastructures</t>
  </si>
  <si>
    <t>Parallel DBs, BigTable, Cassandra, Hadoop, NoSQL; hands-on programming important</t>
  </si>
  <si>
    <t>Programming likely but social dimension unknown</t>
  </si>
  <si>
    <t>Confirmed A2026 Wed 14:15-17</t>
  </si>
  <si>
    <t>Useful but partly redundant with DS.</t>
  </si>
  <si>
    <t>Applied numerical optimization</t>
  </si>
  <si>
    <t>Convexity, Lagrange duality, constrained/unconstrained methods, C++ exercises</t>
  </si>
  <si>
    <t>Bern travel + conflict MLDM</t>
  </si>
  <si>
    <t>Confirmed A2026 Thu 09:15-12 Bern</t>
  </si>
  <si>
    <t>Strong technically, weaker semester fit.</t>
  </si>
  <si>
    <t>LP/MILP/IP modeling</t>
  </si>
  <si>
    <t>Branch-and-bound, polyhedral theory, cutting planes, column generation</t>
  </si>
  <si>
    <t>Conflit UCD/Computing with Words lundi</t>
  </si>
  <si>
    <t>Good for regulation-to-constraints but less social.</t>
  </si>
  <si>
    <t>Citizen-centered urban computing seminar</t>
  </si>
  <si>
    <t>Group project, midterm/final presentations, scientific report</t>
  </si>
  <si>
    <t>Prefer groups of 2</t>
  </si>
  <si>
    <t>50% presentations, 50% report</t>
  </si>
  <si>
    <t>On appointment; likely manageable</t>
  </si>
  <si>
    <t>Good sustainable/social alternative.</t>
  </si>
  <si>
    <t>A2026 official page + Human-IST page</t>
  </si>
  <si>
    <t>Research seminar</t>
  </si>
  <si>
    <t>Review, discuss, present, write about HCI research</t>
  </si>
  <si>
    <t>[I] discussion seminar</t>
  </si>
  <si>
    <t>Continuous evaluation</t>
  </si>
  <si>
    <t>Less prototype, more reading/writing</t>
  </si>
  <si>
    <t>UCD is better for concrete ErgonomIA.</t>
  </si>
  <si>
    <t>Sparse seminar page</t>
  </si>
  <si>
    <t>Low information</t>
  </si>
  <si>
    <t>Do not choose over MSGAI without topic details.</t>
  </si>
  <si>
    <t>A2026 page + exascale 2025</t>
  </si>
  <si>
    <t>A2026 + ARCHIVE 2025</t>
  </si>
  <si>
    <t>Official web + external archive</t>
  </si>
  <si>
    <t>Seminar on time series imputation</t>
  </si>
  <si>
    <t>Report, presentation, library integration, benchmark/tests [archive external]</t>
  </si>
  <si>
    <t>[I] likely individual</t>
  </si>
  <si>
    <t>Technical writing/coding</t>
  </si>
  <si>
    <t>Useful for agri/weather data but less social.</t>
  </si>
  <si>
    <t>Sparse AI trustworthiness seminar</t>
  </si>
  <si>
    <t>Tue 14:15-18 creates long day with MSGAI</t>
  </si>
  <si>
    <t>Potentially relevant but too uncertain.</t>
  </si>
  <si>
    <t>Distributed algorithms theory</t>
  </si>
  <si>
    <t>Replication, quorums, broadcast, consensus, Byzantine, blockchain</t>
  </si>
  <si>
    <t>Bern travel, theoretical, overlap with locked DS</t>
  </si>
  <si>
    <t>Confirmed A2026 Thu 14:15-17 Bern</t>
  </si>
  <si>
    <t>Explicitly not the locked Distributed Systems course.</t>
  </si>
  <si>
    <t>Reinforcement Learning and Decision Making Under Uncertainty</t>
  </si>
  <si>
    <t>S2027 official page</t>
  </si>
  <si>
    <t>S2027 - not eligible A2026</t>
  </si>
  <si>
    <t>RL theory + project</t>
  </si>
  <si>
    <t>3 assignments, project report 60%, exam 40%</t>
  </si>
  <si>
    <t>Project 60%, exam 40%</t>
  </si>
  <si>
    <t>Would be highly relevant later</t>
  </si>
  <si>
    <t>Not A2026</t>
  </si>
  <si>
    <t>Élevé for exclusion</t>
  </si>
  <si>
    <t>Consider for Spring 2027, not Autumn 2026 portfolio.</t>
  </si>
  <si>
    <t>Recommendation</t>
  </si>
  <si>
    <t>Choix final: exactement 4 cours, avec Distributed Systems verrouillé.</t>
  </si>
  <si>
    <t>Résumé stratégique</t>
  </si>
  <si>
    <t>Score global recommandé</t>
  </si>
  <si>
    <t>Charge attendue</t>
  </si>
  <si>
    <t>3.7/5 - riche, soutenable seulement si tu protèges tes soirs et évites d'ajouter Venturelab/Fabrication en plus.</t>
  </si>
  <si>
    <t>Profil du semestre</t>
  </si>
  <si>
    <t>Social + concret + techniquement crédible: droit, utilisateurs, systèmes distribués, genAI scaling.</t>
  </si>
  <si>
    <t>Risques principaux</t>
  </si>
  <si>
    <t>Legal Tech sur rendez-vous; DS A2026 non confirmé dans JMCS; MSGAI homeworks/GPU; plusieurs livrables de groupe.</t>
  </si>
  <si>
    <t>What I gain</t>
  </si>
  <si>
    <t>Un prototype LegalTech crédible, une méthode UX pour ErgonomIA, une profondeur IA systèmes, un socle distribué obligatoire.</t>
  </si>
  <si>
    <t>What I give up</t>
  </si>
  <si>
    <t>L'intensité startup de Entrepreneurship, le making hardware de Fabrication, et une base ML/optimisation plus classique.</t>
  </si>
  <si>
    <t>Final courses and substitutes</t>
  </si>
  <si>
    <t>Role</t>
  </si>
  <si>
    <t>Why / condition</t>
  </si>
  <si>
    <t>Choix final 1</t>
  </si>
  <si>
    <t>Verrouillé. Socle systèmes/backend; mini-projet distribué d'après archives.</t>
  </si>
  <si>
    <t>Choix final 2</t>
  </si>
  <si>
    <t>Occasion rare de tester ton idée IA x droit avec juristes et outil fonctionnel.</t>
  </si>
  <si>
    <t>Choix final 3</t>
  </si>
  <si>
    <t>Meilleur terrain ErgonomIA: utilisateurs, prototype, évaluation, présentations.</t>
  </si>
  <si>
    <t>Choix final 4</t>
  </si>
  <si>
    <t>Ajoute profondeur IA systèmes utile aux prototypes LLM/RAG sans prendre un ML générique.</t>
  </si>
  <si>
    <t>1er remplaçant</t>
  </si>
  <si>
    <t>À prendre si tu veux faire de ce semestre une vraie exploration startup et accepts les mardis soirs + demo février.</t>
  </si>
  <si>
    <t>2e remplaçant</t>
  </si>
  <si>
    <t>À prendre si ErgonomIA hardware/maker devient prioritaire; attention limite 10 places.</t>
  </si>
  <si>
    <t>3e remplaçant</t>
  </si>
  <si>
    <t>Très utile pour règles vagues/contraintes, mais seulement si le conflit vendredi avec DS disparaît ou reste gérable.</t>
  </si>
  <si>
    <t>Strategic Questions</t>
  </si>
  <si>
    <t>Question</t>
  </si>
  <si>
    <t>Answer</t>
  </si>
  <si>
    <t>Legal Tech est-il réellement aussi bon que je l'imagine ?</t>
  </si>
  <si>
    <t>Oui, l'analyse le confirme. Ce n'est pas juste 'intéressant': c'est rare, interdisciplinaire, social, productisable, et directement aligné IA x règlements.</t>
  </si>
  <si>
    <t>Quelle combinaison maximise université x projets sans transformer les loisirs en travail ?</t>
  </si>
  <si>
    <t>Distributed Systems + Legal Tech + UCD + MSGAI. Elle garde un vrai socle technique tout en évitant le combo Venturelab + Fabrication, plus invasif.</t>
  </si>
  <si>
    <t>Est-ce pertinent de prendre un cours ML supplémentaire ?</t>
  </si>
  <si>
    <t>Pas automatiquement. MLDM est utile mais marginalement moins rare; MSGAI apporte plus de valeur actuelle pour tes prototypes IA sans doubler un cours ML générique.</t>
  </si>
  <si>
    <t>Quel cours est le meilleur terrain pour ErgonomIA ?</t>
  </si>
  <si>
    <t>User Centered Design. Fabrication est le meilleur remplaçant si tu veux matérialiser le hardware, mais UCD donne utilisateurs, tests et méthode.</t>
  </si>
  <si>
    <t>Quel cours pourrait faire avancer IA x règlements de construction ?</t>
  </si>
  <si>
    <t>Legal Tech en premier; MSGAI pour fiabilité/coût des outils LLM; Fuzzy ou Mathematical Modeling en remplaçants pour règles vagues/contraintes formelles.</t>
  </si>
  <si>
    <t>Quels cours offrent le plus de réalisation collective et de rencontres ?</t>
  </si>
  <si>
    <t>Legal Tech, Entrepreneurship, Fabrication, UCD, Seminar Urban Computing; Advanced Software Engineering ensuite pour équipe logiciel.</t>
  </si>
  <si>
    <t>Quels cours ont la plus forte valeur d'option entrepreneuriale ?</t>
  </si>
  <si>
    <t>Entrepreneurship est numéro 1, puis Legal Tech, Fabrication, UCD. Legal Tech a peut-être le meilleur rapport option/coût.</t>
  </si>
  <si>
    <t>Quels cours séduisants sont probablement de mauvais choix maintenant ?</t>
  </si>
  <si>
    <t>Distributed Algorithms, Applied Optimization, Topological Data Analysis, et possiblement MLDM si tu cherches surtout collectif/prototype ce semestre.</t>
  </si>
  <si>
    <t>Quelle combinaison donne un bon janvier, pas seulement un CV plus impressionnant ?</t>
  </si>
  <si>
    <t>Portfolio A, ou Portfolio D si tu privilégies encore plus respiration et social. Les deux protègent mieux ton énergie que Portfolio C/E.</t>
  </si>
  <si>
    <t>Un seul conseil ?</t>
  </si>
  <si>
    <t>Ne choisis pas quatre cours pour prouver que tu es technique; choisis un semestre qui te met régulièrement avec des gens autour d'objets concrets.</t>
  </si>
  <si>
    <t>Quality checks</t>
  </si>
  <si>
    <t>Weights sum to 100</t>
  </si>
  <si>
    <t>Manual check: expected 100; course totals use SUM(M:V).</t>
  </si>
  <si>
    <t>Distributed Systems in all portfolios</t>
  </si>
  <si>
    <t>Should display OK after recalculation.</t>
  </si>
  <si>
    <t>Official A2026 source checked</t>
  </si>
  <si>
    <t>https://mcs.unibnf.ch/program/courses-timetable/course-list/?semester%5B%5D=A2026&amp;type%5B%5D=Course&amp;type%5B%5D=Seminar</t>
  </si>
  <si>
    <t>Official list used after local archive analysis.</t>
  </si>
  <si>
    <t>Local archive corpus built</t>
  </si>
  <si>
    <t>tmp/course_corpus/summary.json</t>
  </si>
  <si>
    <t>PDF/HTML/PPTX/TXT corpus inspected before website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</si>
</sst>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11"/>
      <color rgb="FF666666"/>
      <name val="Calibri"/>
      <family val="2"/>
    </font>
    <font>
      <b/>
      <sz val="11"/>
      <color rgb="FF1F1F1F"/>
      <name val="Calibri"/>
      <family val="2"/>
    </font>
    <font>
      <sz val="12"/>
      <color theme="10"/>
      <name val="Calibri"/>
      <family val="2"/>
      <scheme val="minor"/>
    </font>
    <font>
      <b/>
      <sz val="11"/>
      <name val="Calibri"/>
      <family val="2"/>
    </font>
    <font>
      <b/>
      <sz val="13"/>
      <color rgb="FF1F4E7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/>
      <right/>
      <top/>
      <bottom style="thin">
        <color rgb="FF7F7F7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2" fillId="0" borderId="0" xfId="0" applyFont="1"/>
    <xf numFmtId="0" fontId="3" fillId="3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4" fillId="0" borderId="0" xfId="1"/>
    <xf numFmtId="0" fontId="0" fillId="4" borderId="2" xfId="0" applyFill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6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ortfolioTable" displayName="PortfolioTable" ref="A3:O8">
  <autoFilter ref="A3:O8" xr:uid="{00000000-0009-0000-0100-000002000000}"/>
  <tableColumns count="15">
    <tableColumn id="1" xr3:uid="{00000000-0010-0000-0100-000001000000}" name="Portfolio"/>
    <tableColumn id="2" xr3:uid="{00000000-0010-0000-0100-000002000000}" name="Scenario"/>
    <tableColumn id="3" xr3:uid="{00000000-0010-0000-0100-000003000000}" name="Course 1 (locked)"/>
    <tableColumn id="4" xr3:uid="{00000000-0010-0000-0100-000004000000}" name="Course 2"/>
    <tableColumn id="5" xr3:uid="{00000000-0010-0000-0100-000005000000}" name="Course 3"/>
    <tableColumn id="6" xr3:uid="{00000000-0010-0000-0100-000006000000}" name="Course 4"/>
    <tableColumn id="7" xr3:uid="{00000000-0010-0000-0100-000007000000}" name="Semester Fit /100"/>
    <tableColumn id="8" xr3:uid="{00000000-0010-0000-0100-000008000000}" name="Global workload"/>
    <tableColumn id="9" xr3:uid="{00000000-0010-0000-0100-000009000000}" name="Collective degree"/>
    <tableColumn id="10" xr3:uid="{00000000-0010-0000-0100-00000A000000}" name="Schedule / travel risk"/>
    <tableColumn id="11" xr3:uid="{00000000-0010-0000-0100-00000B000000}" name="Principal advantage"/>
    <tableColumn id="12" xr3:uid="{00000000-0010-0000-0100-00000C000000}" name="Principal cost"/>
    <tableColumn id="13" xr3:uid="{00000000-0010-0000-0100-00000D000000}" name="What I might regret"/>
    <tableColumn id="14" xr3:uid="{00000000-0010-0000-0100-00000E000000}" name="Difference vs others"/>
    <tableColumn id="15" xr3:uid="{00000000-0010-0000-0100-00000F000000}" name="Recommendation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ynergyMatrixTable" displayName="SynergyMatrixTable" ref="A3:P17">
  <autoFilter ref="A3:P17" xr:uid="{00000000-0009-0000-0100-000003000000}"/>
  <tableColumns count="16">
    <tableColumn id="1" xr3:uid="{00000000-0010-0000-0200-000001000000}" name="Course"/>
    <tableColumn id="2" xr3:uid="{00000000-0010-0000-0200-000002000000}" name="Distributed Systems"/>
    <tableColumn id="3" xr3:uid="{00000000-0010-0000-0200-000003000000}" name="Legal Tech"/>
    <tableColumn id="4" xr3:uid="{00000000-0010-0000-0200-000004000000}" name="User Centered Design"/>
    <tableColumn id="5" xr3:uid="{00000000-0010-0000-0200-000005000000}" name="MSGAI"/>
    <tableColumn id="6" xr3:uid="{00000000-0010-0000-0200-000006000000}" name="Entrepreneurship"/>
    <tableColumn id="7" xr3:uid="{00000000-0010-0000-0200-000007000000}" name="Fabrication"/>
    <tableColumn id="8" xr3:uid="{00000000-0010-0000-0200-000008000000}" name="Advanced SE"/>
    <tableColumn id="9" xr3:uid="{00000000-0010-0000-0200-000009000000}" name="Fuzzy Sets"/>
    <tableColumn id="10" xr3:uid="{00000000-0010-0000-0200-00000A000000}" name="Computing with Words"/>
    <tableColumn id="11" xr3:uid="{00000000-0010-0000-0200-00000B000000}" name="MLDM"/>
    <tableColumn id="12" xr3:uid="{00000000-0010-0000-0200-00000C000000}" name="Big Data"/>
    <tableColumn id="13" xr3:uid="{00000000-0010-0000-0200-00000D000000}" name="Urban Computing"/>
    <tableColumn id="14" xr3:uid="{00000000-0010-0000-0200-00000E000000}" name="Math/Linear Opt"/>
    <tableColumn id="15" xr3:uid="{00000000-0010-0000-0200-00000F000000}" name="Applied Optimization"/>
    <tableColumn id="16" xr3:uid="{00000000-0010-0000-0200-000010000000}" name="Main interpret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videnceTable" displayName="EvidenceTable" ref="A3:M35">
  <autoFilter ref="A3:M35" xr:uid="{00000000-0009-0000-0100-000004000000}"/>
  <tableColumns count="13">
    <tableColumn id="1" xr3:uid="{00000000-0010-0000-0300-000001000000}" name="Course"/>
    <tableColumn id="2" xr3:uid="{00000000-0010-0000-0300-000002000000}" name="Local folder"/>
    <tableColumn id="3" xr3:uid="{00000000-0010-0000-0300-000003000000}" name="Archive / file inspected"/>
    <tableColumn id="4" xr3:uid="{00000000-0010-0000-0300-000004000000}" name="Academic year"/>
    <tableColumn id="5" xr3:uid="{00000000-0010-0000-0300-000005000000}" name="Evidence type"/>
    <tableColumn id="6" xr3:uid="{00000000-0010-0000-0300-000006000000}" name="Observed teaching format"/>
    <tableColumn id="7" xr3:uid="{00000000-0010-0000-0300-000007000000}" name="Observed assignments"/>
    <tableColumn id="8" xr3:uid="{00000000-0010-0000-0300-000008000000}" name="Observed group work"/>
    <tableColumn id="9" xr3:uid="{00000000-0010-0000-0300-000009000000}" name="Observed examination"/>
    <tableColumn id="10" xr3:uid="{00000000-0010-0000-0300-00000A000000}" name="Observed workload clues"/>
    <tableColumn id="11" xr3:uid="{00000000-0010-0000-0300-00000B000000}" name="A2026 confirmation"/>
    <tableColumn id="12" xr3:uid="{00000000-0010-0000-0300-00000C000000}" name="Confidence"/>
    <tableColumn id="13" xr3:uid="{00000000-0010-0000-0300-00000D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cs.unibnf.ch/courses/seminar-generative-ai-2/" TargetMode="External"/><Relationship Id="rId13" Type="http://schemas.openxmlformats.org/officeDocument/2006/relationships/vmlDrawing" Target="../drawings/vmlDrawing1.vml"/><Relationship Id="rId3" Type="http://schemas.openxmlformats.org/officeDocument/2006/relationships/hyperlink" Target="https://mcs.unibnf.ch/courses/advanced-software-engineering/" TargetMode="External"/><Relationship Id="rId7" Type="http://schemas.openxmlformats.org/officeDocument/2006/relationships/hyperlink" Target="https://mcs.unibnf.ch/courses/seminar-trustworthy-ai-models-and-systems/" TargetMode="External"/><Relationship Id="rId12" Type="http://schemas.openxmlformats.org/officeDocument/2006/relationships/hyperlink" Target="https://mcs.unibnf.ch/courses/topological-data-analysis/" TargetMode="External"/><Relationship Id="rId2" Type="http://schemas.openxmlformats.org/officeDocument/2006/relationships/hyperlink" Target="https://mcs.unibnf.ch/courses/fabrication-and-prototyping-in-the-learninglab/" TargetMode="External"/><Relationship Id="rId1" Type="http://schemas.openxmlformats.org/officeDocument/2006/relationships/hyperlink" Target="https://mcs.unibnf.ch/courses/entrepreneurship-for-computer-scientists-from-startup-idea-to-working-prototype/" TargetMode="External"/><Relationship Id="rId6" Type="http://schemas.openxmlformats.org/officeDocument/2006/relationships/hyperlink" Target="https://mcs.unibnf.ch/courses/big-data-infrastructures/" TargetMode="External"/><Relationship Id="rId11" Type="http://schemas.openxmlformats.org/officeDocument/2006/relationships/hyperlink" Target="https://mcs.unibnf.ch/courses/distributed-algorithms/" TargetMode="External"/><Relationship Id="rId5" Type="http://schemas.openxmlformats.org/officeDocument/2006/relationships/hyperlink" Target="https://mcs.unibnf.ch/courses/seminar-urban-computing/" TargetMode="External"/><Relationship Id="rId10" Type="http://schemas.openxmlformats.org/officeDocument/2006/relationships/hyperlink" Target="https://mcs.unibnf.ch/courses/applied-optimization/" TargetMode="External"/><Relationship Id="rId4" Type="http://schemas.openxmlformats.org/officeDocument/2006/relationships/hyperlink" Target="https://mcs.unibnf.ch/courses/computing-with-words/" TargetMode="External"/><Relationship Id="rId9" Type="http://schemas.openxmlformats.org/officeDocument/2006/relationships/hyperlink" Target="https://mcs.unibnf.ch/courses/mathematical-modeling-and-linear-optimization/" TargetMode="External"/><Relationship Id="rId1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3"/>
  <sheetViews>
    <sheetView showGridLines="0" tabSelected="1" topLeftCell="AC1" workbookViewId="0">
      <pane ySplit="3" topLeftCell="A13" activePane="bottomLeft" state="frozen"/>
      <selection pane="bottomLeft" activeCell="AJ15" sqref="AJ15"/>
    </sheetView>
  </sheetViews>
  <sheetFormatPr baseColWidth="10" defaultColWidth="8.83203125" defaultRowHeight="15" x14ac:dyDescent="0.2"/>
  <cols>
    <col min="1" max="1" width="8" customWidth="1"/>
    <col min="2" max="2" width="34" customWidth="1"/>
    <col min="3" max="3" width="18" customWidth="1"/>
    <col min="4" max="4" width="12" customWidth="1"/>
    <col min="5" max="5" width="24" customWidth="1"/>
    <col min="6" max="6" width="8" customWidth="1"/>
    <col min="7" max="7" width="20" customWidth="1"/>
    <col min="8" max="8" width="22" customWidth="1"/>
    <col min="9" max="9" width="12" customWidth="1"/>
    <col min="10" max="10" width="34" customWidth="1"/>
    <col min="11" max="11" width="24" customWidth="1"/>
    <col min="12" max="12" width="28" customWidth="1"/>
    <col min="13" max="22" width="11" customWidth="1"/>
    <col min="23" max="24" width="12" customWidth="1"/>
    <col min="25" max="25" width="11" customWidth="1"/>
    <col min="26" max="26" width="12" customWidth="1"/>
    <col min="27" max="27" width="10" customWidth="1"/>
    <col min="28" max="28" width="11" customWidth="1"/>
    <col min="29" max="29" width="12" customWidth="1"/>
    <col min="30" max="30" width="34" customWidth="1"/>
    <col min="31" max="31" width="14" customWidth="1"/>
    <col min="32" max="32" width="22" customWidth="1"/>
    <col min="33" max="34" width="34" customWidth="1"/>
    <col min="35" max="35" width="18" customWidth="1"/>
    <col min="36" max="37" width="42" customWidth="1"/>
  </cols>
  <sheetData>
    <row r="1" spans="1:37" ht="28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</row>
    <row r="2" spans="1:37" x14ac:dyDescent="0.2">
      <c r="A2" s="1" t="s">
        <v>1</v>
      </c>
    </row>
    <row r="3" spans="1:37" ht="48" x14ac:dyDescent="0.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</row>
    <row r="4" spans="1:37" ht="78" customHeight="1" x14ac:dyDescent="0.2">
      <c r="A4" s="3">
        <v>1</v>
      </c>
      <c r="B4" s="3" t="s">
        <v>39</v>
      </c>
      <c r="C4" s="3" t="s">
        <v>40</v>
      </c>
      <c r="D4" s="3" t="s">
        <v>41</v>
      </c>
      <c r="E4" s="3" t="s">
        <v>42</v>
      </c>
      <c r="F4" s="3">
        <v>5</v>
      </c>
      <c r="G4" s="3" t="s">
        <v>43</v>
      </c>
      <c r="H4" s="3" t="s">
        <v>43</v>
      </c>
      <c r="I4" s="3" t="s">
        <v>44</v>
      </c>
      <c r="J4" s="3" t="s">
        <v>45</v>
      </c>
      <c r="K4" s="3" t="s">
        <v>46</v>
      </c>
      <c r="L4" s="3" t="s">
        <v>47</v>
      </c>
      <c r="M4" s="3">
        <v>12</v>
      </c>
      <c r="N4" s="3">
        <v>18</v>
      </c>
      <c r="O4" s="3">
        <v>2</v>
      </c>
      <c r="P4" s="3">
        <v>6</v>
      </c>
      <c r="Q4" s="3">
        <v>2</v>
      </c>
      <c r="R4" s="3">
        <v>11</v>
      </c>
      <c r="S4" s="3">
        <v>7</v>
      </c>
      <c r="T4" s="3">
        <v>7</v>
      </c>
      <c r="U4" s="3">
        <v>12</v>
      </c>
      <c r="V4" s="3">
        <v>7</v>
      </c>
      <c r="W4" s="3">
        <f t="shared" ref="W4:W23" si="0">SUM(M4:V4)</f>
        <v>84</v>
      </c>
      <c r="X4" s="3">
        <v>3</v>
      </c>
      <c r="Y4" s="3">
        <v>2</v>
      </c>
      <c r="Z4" s="3">
        <v>5</v>
      </c>
      <c r="AA4" s="3">
        <v>5</v>
      </c>
      <c r="AB4" s="3">
        <v>2</v>
      </c>
      <c r="AC4" s="3">
        <v>5</v>
      </c>
      <c r="AD4" s="3" t="s">
        <v>48</v>
      </c>
      <c r="AE4" s="3" t="s">
        <v>49</v>
      </c>
      <c r="AF4" s="3" t="s">
        <v>50</v>
      </c>
      <c r="AG4" s="3" t="s">
        <v>51</v>
      </c>
      <c r="AH4" s="3" t="s">
        <v>52</v>
      </c>
      <c r="AI4" s="3" t="s">
        <v>53</v>
      </c>
      <c r="AJ4" s="3" t="s">
        <v>54</v>
      </c>
      <c r="AK4" s="3" t="s">
        <v>55</v>
      </c>
    </row>
    <row r="5" spans="1:37" ht="78" customHeight="1" x14ac:dyDescent="0.2">
      <c r="A5" s="3">
        <v>2</v>
      </c>
      <c r="B5" s="3" t="s">
        <v>56</v>
      </c>
      <c r="C5" s="3" t="s">
        <v>57</v>
      </c>
      <c r="D5" s="3" t="s">
        <v>41</v>
      </c>
      <c r="E5" s="3" t="s">
        <v>58</v>
      </c>
      <c r="F5" s="3">
        <v>5</v>
      </c>
      <c r="G5" s="3" t="s">
        <v>59</v>
      </c>
      <c r="H5" s="3" t="s">
        <v>60</v>
      </c>
      <c r="I5" s="3" t="s">
        <v>3</v>
      </c>
      <c r="J5" s="3" t="s">
        <v>61</v>
      </c>
      <c r="K5" s="3" t="s">
        <v>62</v>
      </c>
      <c r="L5" s="3" t="s">
        <v>63</v>
      </c>
      <c r="M5" s="3">
        <v>11</v>
      </c>
      <c r="N5" s="3">
        <v>17</v>
      </c>
      <c r="O5" s="3">
        <v>6</v>
      </c>
      <c r="P5" s="3">
        <v>2</v>
      </c>
      <c r="Q5" s="3">
        <v>1</v>
      </c>
      <c r="R5" s="3">
        <v>11</v>
      </c>
      <c r="S5" s="3">
        <v>5</v>
      </c>
      <c r="T5" s="3">
        <v>8</v>
      </c>
      <c r="U5" s="3">
        <v>12</v>
      </c>
      <c r="V5" s="3">
        <v>7</v>
      </c>
      <c r="W5" s="3">
        <f t="shared" si="0"/>
        <v>80</v>
      </c>
      <c r="X5" s="3">
        <v>3</v>
      </c>
      <c r="Y5" s="3">
        <v>2</v>
      </c>
      <c r="Z5" s="3">
        <v>5</v>
      </c>
      <c r="AA5" s="3">
        <v>5</v>
      </c>
      <c r="AB5" s="3">
        <v>2</v>
      </c>
      <c r="AC5" s="3">
        <v>5</v>
      </c>
      <c r="AD5" s="3" t="s">
        <v>64</v>
      </c>
      <c r="AE5" s="3" t="s">
        <v>65</v>
      </c>
      <c r="AF5" s="3" t="s">
        <v>66</v>
      </c>
      <c r="AG5" s="3" t="s">
        <v>67</v>
      </c>
      <c r="AH5" s="3" t="s">
        <v>68</v>
      </c>
      <c r="AI5" s="3" t="s">
        <v>69</v>
      </c>
      <c r="AJ5" s="3" t="s">
        <v>70</v>
      </c>
      <c r="AK5" s="3" t="s">
        <v>71</v>
      </c>
    </row>
    <row r="6" spans="1:37" ht="78" customHeight="1" x14ac:dyDescent="0.2">
      <c r="A6" s="3">
        <v>3</v>
      </c>
      <c r="B6" s="3" t="s">
        <v>72</v>
      </c>
      <c r="C6" s="3" t="s">
        <v>73</v>
      </c>
      <c r="D6" s="3" t="s">
        <v>41</v>
      </c>
      <c r="E6" s="3" t="s">
        <v>74</v>
      </c>
      <c r="F6" s="3">
        <v>5</v>
      </c>
      <c r="G6" s="3" t="s">
        <v>75</v>
      </c>
      <c r="H6" s="3" t="s">
        <v>76</v>
      </c>
      <c r="I6" s="3" t="s">
        <v>44</v>
      </c>
      <c r="J6" s="3" t="s">
        <v>77</v>
      </c>
      <c r="K6" s="3" t="s">
        <v>78</v>
      </c>
      <c r="L6" s="3" t="s">
        <v>79</v>
      </c>
      <c r="M6" s="3">
        <v>11</v>
      </c>
      <c r="N6" s="3">
        <v>16</v>
      </c>
      <c r="O6" s="3">
        <v>4</v>
      </c>
      <c r="P6" s="3">
        <v>5</v>
      </c>
      <c r="Q6" s="3">
        <v>2</v>
      </c>
      <c r="R6" s="3">
        <v>12</v>
      </c>
      <c r="S6" s="3">
        <v>8</v>
      </c>
      <c r="T6" s="3">
        <v>7</v>
      </c>
      <c r="U6" s="3">
        <v>8</v>
      </c>
      <c r="V6" s="3">
        <v>6</v>
      </c>
      <c r="W6" s="3">
        <f t="shared" si="0"/>
        <v>79</v>
      </c>
      <c r="X6" s="3">
        <v>4</v>
      </c>
      <c r="Y6" s="3">
        <v>3</v>
      </c>
      <c r="Z6" s="3">
        <v>5</v>
      </c>
      <c r="AA6" s="3">
        <v>5</v>
      </c>
      <c r="AB6" s="3">
        <v>1</v>
      </c>
      <c r="AC6" s="3">
        <v>5</v>
      </c>
      <c r="AD6" s="3" t="s">
        <v>80</v>
      </c>
      <c r="AE6" s="3" t="s">
        <v>49</v>
      </c>
      <c r="AF6" s="3" t="s">
        <v>81</v>
      </c>
      <c r="AG6" s="3" t="s">
        <v>82</v>
      </c>
      <c r="AH6" s="3" t="s">
        <v>83</v>
      </c>
      <c r="AI6" s="3" t="s">
        <v>53</v>
      </c>
      <c r="AJ6" s="3" t="s">
        <v>84</v>
      </c>
      <c r="AK6" s="4" t="s">
        <v>85</v>
      </c>
    </row>
    <row r="7" spans="1:37" ht="78" customHeight="1" x14ac:dyDescent="0.2">
      <c r="A7" s="3">
        <v>4</v>
      </c>
      <c r="B7" s="3" t="s">
        <v>86</v>
      </c>
      <c r="C7" s="3" t="s">
        <v>87</v>
      </c>
      <c r="D7" s="3" t="s">
        <v>41</v>
      </c>
      <c r="E7" s="3" t="s">
        <v>88</v>
      </c>
      <c r="F7" s="3">
        <v>5</v>
      </c>
      <c r="G7" s="3" t="s">
        <v>89</v>
      </c>
      <c r="H7" s="3" t="s">
        <v>90</v>
      </c>
      <c r="I7" s="3" t="s">
        <v>3</v>
      </c>
      <c r="J7" s="3" t="s">
        <v>91</v>
      </c>
      <c r="K7" s="3" t="s">
        <v>92</v>
      </c>
      <c r="L7" s="3" t="s">
        <v>93</v>
      </c>
      <c r="M7" s="3">
        <v>10</v>
      </c>
      <c r="N7" s="3">
        <v>17</v>
      </c>
      <c r="O7" s="3">
        <v>6</v>
      </c>
      <c r="P7" s="3">
        <v>1</v>
      </c>
      <c r="Q7" s="3">
        <v>1</v>
      </c>
      <c r="R7" s="3">
        <v>12</v>
      </c>
      <c r="S7" s="3">
        <v>6</v>
      </c>
      <c r="T7" s="3">
        <v>8</v>
      </c>
      <c r="U7" s="3">
        <v>10</v>
      </c>
      <c r="V7" s="3">
        <v>6</v>
      </c>
      <c r="W7" s="3">
        <f t="shared" si="0"/>
        <v>77</v>
      </c>
      <c r="X7" s="3">
        <v>4</v>
      </c>
      <c r="Y7" s="3">
        <v>2</v>
      </c>
      <c r="Z7" s="3">
        <v>5</v>
      </c>
      <c r="AA7" s="3">
        <v>5</v>
      </c>
      <c r="AB7" s="3">
        <v>1</v>
      </c>
      <c r="AC7" s="3">
        <v>5</v>
      </c>
      <c r="AD7" s="3" t="s">
        <v>94</v>
      </c>
      <c r="AE7" s="3" t="s">
        <v>49</v>
      </c>
      <c r="AF7" s="3" t="s">
        <v>95</v>
      </c>
      <c r="AG7" s="3" t="s">
        <v>96</v>
      </c>
      <c r="AH7" s="3" t="s">
        <v>97</v>
      </c>
      <c r="AI7" s="3" t="s">
        <v>53</v>
      </c>
      <c r="AJ7" s="3" t="s">
        <v>98</v>
      </c>
      <c r="AK7" s="4" t="s">
        <v>99</v>
      </c>
    </row>
    <row r="8" spans="1:37" ht="78" customHeight="1" x14ac:dyDescent="0.2">
      <c r="A8" s="3">
        <v>5</v>
      </c>
      <c r="B8" s="3" t="s">
        <v>100</v>
      </c>
      <c r="C8" s="3" t="s">
        <v>101</v>
      </c>
      <c r="D8" s="3" t="s">
        <v>102</v>
      </c>
      <c r="E8" s="3" t="s">
        <v>103</v>
      </c>
      <c r="F8" s="3">
        <v>5</v>
      </c>
      <c r="G8" s="3" t="s">
        <v>104</v>
      </c>
      <c r="H8" s="3" t="s">
        <v>105</v>
      </c>
      <c r="I8" s="3" t="s">
        <v>3</v>
      </c>
      <c r="J8" s="3" t="s">
        <v>106</v>
      </c>
      <c r="K8" s="3" t="s">
        <v>107</v>
      </c>
      <c r="L8" s="3" t="s">
        <v>108</v>
      </c>
      <c r="M8" s="3">
        <v>11</v>
      </c>
      <c r="N8" s="3">
        <v>12</v>
      </c>
      <c r="O8" s="3">
        <v>2</v>
      </c>
      <c r="P8" s="3">
        <v>5</v>
      </c>
      <c r="Q8" s="3">
        <v>4</v>
      </c>
      <c r="R8" s="3">
        <v>10</v>
      </c>
      <c r="S8" s="3">
        <v>5</v>
      </c>
      <c r="T8" s="3">
        <v>9</v>
      </c>
      <c r="U8" s="3">
        <v>9</v>
      </c>
      <c r="V8" s="3">
        <v>7</v>
      </c>
      <c r="W8" s="3">
        <f t="shared" si="0"/>
        <v>74</v>
      </c>
      <c r="X8" s="3">
        <v>4</v>
      </c>
      <c r="Y8" s="3">
        <v>4</v>
      </c>
      <c r="Z8" s="3">
        <v>3</v>
      </c>
      <c r="AA8" s="3">
        <v>4</v>
      </c>
      <c r="AB8" s="3">
        <v>4</v>
      </c>
      <c r="AC8" s="3">
        <v>4</v>
      </c>
      <c r="AD8" s="3" t="s">
        <v>109</v>
      </c>
      <c r="AE8" s="3" t="s">
        <v>65</v>
      </c>
      <c r="AF8" s="3" t="s">
        <v>110</v>
      </c>
      <c r="AG8" s="3" t="s">
        <v>111</v>
      </c>
      <c r="AH8" s="3" t="s">
        <v>112</v>
      </c>
      <c r="AI8" s="3" t="s">
        <v>69</v>
      </c>
      <c r="AJ8" s="3" t="s">
        <v>113</v>
      </c>
      <c r="AK8" s="3" t="s">
        <v>114</v>
      </c>
    </row>
    <row r="9" spans="1:37" ht="78" customHeight="1" x14ac:dyDescent="0.2">
      <c r="A9" s="3">
        <v>6</v>
      </c>
      <c r="B9" s="3" t="s">
        <v>115</v>
      </c>
      <c r="C9" s="3" t="s">
        <v>116</v>
      </c>
      <c r="D9" s="3" t="s">
        <v>117</v>
      </c>
      <c r="E9" s="3" t="s">
        <v>118</v>
      </c>
      <c r="F9" s="3">
        <v>5</v>
      </c>
      <c r="G9" s="3" t="s">
        <v>119</v>
      </c>
      <c r="H9" s="3" t="s">
        <v>120</v>
      </c>
      <c r="I9" s="3" t="s">
        <v>3</v>
      </c>
      <c r="J9" s="3" t="s">
        <v>121</v>
      </c>
      <c r="K9" s="3" t="s">
        <v>122</v>
      </c>
      <c r="L9" s="3" t="s">
        <v>123</v>
      </c>
      <c r="M9" s="3">
        <v>9</v>
      </c>
      <c r="N9" s="3">
        <v>15</v>
      </c>
      <c r="O9" s="3">
        <v>3</v>
      </c>
      <c r="P9" s="3">
        <v>4</v>
      </c>
      <c r="Q9" s="3">
        <v>3</v>
      </c>
      <c r="R9" s="3">
        <v>10</v>
      </c>
      <c r="S9" s="3">
        <v>5</v>
      </c>
      <c r="T9" s="3">
        <v>8</v>
      </c>
      <c r="U9" s="3">
        <v>10</v>
      </c>
      <c r="V9" s="3">
        <v>6</v>
      </c>
      <c r="W9" s="3">
        <f t="shared" si="0"/>
        <v>73</v>
      </c>
      <c r="X9" s="3">
        <v>3</v>
      </c>
      <c r="Y9" s="3">
        <v>2</v>
      </c>
      <c r="Z9" s="3">
        <v>4</v>
      </c>
      <c r="AA9" s="3">
        <v>5</v>
      </c>
      <c r="AB9" s="3">
        <v>3</v>
      </c>
      <c r="AC9" s="3">
        <v>4</v>
      </c>
      <c r="AD9" s="3" t="s">
        <v>124</v>
      </c>
      <c r="AE9" s="3" t="s">
        <v>65</v>
      </c>
      <c r="AF9" s="3" t="s">
        <v>125</v>
      </c>
      <c r="AG9" s="3" t="s">
        <v>126</v>
      </c>
      <c r="AH9" s="3" t="s">
        <v>127</v>
      </c>
      <c r="AI9" s="3" t="s">
        <v>53</v>
      </c>
      <c r="AJ9" s="3" t="s">
        <v>128</v>
      </c>
      <c r="AK9" s="4" t="s">
        <v>129</v>
      </c>
    </row>
    <row r="10" spans="1:37" ht="78" customHeight="1" x14ac:dyDescent="0.2">
      <c r="A10" s="3">
        <v>7</v>
      </c>
      <c r="B10" s="3" t="s">
        <v>130</v>
      </c>
      <c r="C10" s="3" t="s">
        <v>131</v>
      </c>
      <c r="D10" s="3" t="s">
        <v>132</v>
      </c>
      <c r="E10" s="3" t="s">
        <v>133</v>
      </c>
      <c r="F10" s="3">
        <v>5</v>
      </c>
      <c r="G10" s="3" t="s">
        <v>59</v>
      </c>
      <c r="H10" s="3" t="s">
        <v>60</v>
      </c>
      <c r="I10" s="3" t="s">
        <v>3</v>
      </c>
      <c r="J10" s="3" t="s">
        <v>134</v>
      </c>
      <c r="K10" s="3" t="s">
        <v>135</v>
      </c>
      <c r="L10" s="3" t="s">
        <v>136</v>
      </c>
      <c r="M10" s="3">
        <v>9</v>
      </c>
      <c r="N10" s="3">
        <v>14</v>
      </c>
      <c r="O10" s="3">
        <v>4</v>
      </c>
      <c r="P10" s="3">
        <v>4</v>
      </c>
      <c r="Q10" s="3">
        <v>4</v>
      </c>
      <c r="R10" s="3">
        <v>10</v>
      </c>
      <c r="S10" s="3">
        <v>4</v>
      </c>
      <c r="T10" s="3">
        <v>7</v>
      </c>
      <c r="U10" s="3">
        <v>9</v>
      </c>
      <c r="V10" s="3">
        <v>5</v>
      </c>
      <c r="W10" s="3">
        <f t="shared" si="0"/>
        <v>70</v>
      </c>
      <c r="X10" s="3">
        <v>3</v>
      </c>
      <c r="Y10" s="3">
        <v>2</v>
      </c>
      <c r="Z10" s="3">
        <v>4</v>
      </c>
      <c r="AA10" s="3">
        <v>5</v>
      </c>
      <c r="AB10" s="3">
        <v>3</v>
      </c>
      <c r="AC10" s="3">
        <v>4</v>
      </c>
      <c r="AD10" s="3" t="s">
        <v>137</v>
      </c>
      <c r="AE10" s="3" t="s">
        <v>49</v>
      </c>
      <c r="AF10" s="3" t="s">
        <v>138</v>
      </c>
      <c r="AG10" s="3" t="s">
        <v>139</v>
      </c>
      <c r="AH10" s="3" t="s">
        <v>140</v>
      </c>
      <c r="AI10" s="3" t="s">
        <v>53</v>
      </c>
      <c r="AJ10" s="3" t="s">
        <v>141</v>
      </c>
      <c r="AK10" s="4" t="s">
        <v>142</v>
      </c>
    </row>
    <row r="11" spans="1:37" ht="78" customHeight="1" x14ac:dyDescent="0.2">
      <c r="A11" s="3">
        <v>8</v>
      </c>
      <c r="B11" s="3" t="s">
        <v>143</v>
      </c>
      <c r="C11" s="3" t="s">
        <v>144</v>
      </c>
      <c r="D11" s="3" t="s">
        <v>132</v>
      </c>
      <c r="E11" s="3" t="s">
        <v>133</v>
      </c>
      <c r="F11" s="3">
        <v>5</v>
      </c>
      <c r="G11" s="3" t="s">
        <v>145</v>
      </c>
      <c r="H11" s="3" t="s">
        <v>60</v>
      </c>
      <c r="I11" s="3" t="s">
        <v>3</v>
      </c>
      <c r="J11" s="3" t="s">
        <v>146</v>
      </c>
      <c r="K11" s="3" t="s">
        <v>147</v>
      </c>
      <c r="L11" s="3" t="s">
        <v>148</v>
      </c>
      <c r="M11" s="3">
        <v>9</v>
      </c>
      <c r="N11" s="3">
        <v>14</v>
      </c>
      <c r="O11" s="3">
        <v>3</v>
      </c>
      <c r="P11" s="3">
        <v>5</v>
      </c>
      <c r="Q11" s="3">
        <v>5</v>
      </c>
      <c r="R11" s="3">
        <v>9</v>
      </c>
      <c r="S11" s="3">
        <v>4</v>
      </c>
      <c r="T11" s="3">
        <v>7</v>
      </c>
      <c r="U11" s="3">
        <v>7</v>
      </c>
      <c r="V11" s="3">
        <v>6</v>
      </c>
      <c r="W11" s="3">
        <f t="shared" si="0"/>
        <v>69</v>
      </c>
      <c r="X11" s="3">
        <v>4</v>
      </c>
      <c r="Y11" s="3">
        <v>3</v>
      </c>
      <c r="Z11" s="3">
        <v>4</v>
      </c>
      <c r="AA11" s="3">
        <v>4</v>
      </c>
      <c r="AB11" s="3">
        <v>4</v>
      </c>
      <c r="AC11" s="3">
        <v>4</v>
      </c>
      <c r="AD11" s="3" t="s">
        <v>149</v>
      </c>
      <c r="AE11" s="3" t="s">
        <v>65</v>
      </c>
      <c r="AF11" s="3" t="s">
        <v>150</v>
      </c>
      <c r="AG11" s="3" t="s">
        <v>151</v>
      </c>
      <c r="AH11" s="3" t="s">
        <v>152</v>
      </c>
      <c r="AI11" s="3" t="s">
        <v>69</v>
      </c>
      <c r="AJ11" s="3" t="s">
        <v>153</v>
      </c>
      <c r="AK11" s="3" t="s">
        <v>154</v>
      </c>
    </row>
    <row r="12" spans="1:37" ht="78" customHeight="1" x14ac:dyDescent="0.2">
      <c r="A12" s="5">
        <v>9</v>
      </c>
      <c r="B12" s="5" t="s">
        <v>155</v>
      </c>
      <c r="C12" s="5" t="s">
        <v>156</v>
      </c>
      <c r="D12" s="5" t="s">
        <v>157</v>
      </c>
      <c r="E12" s="5" t="s">
        <v>158</v>
      </c>
      <c r="F12" s="5" t="s">
        <v>159</v>
      </c>
      <c r="G12" s="5" t="s">
        <v>160</v>
      </c>
      <c r="H12" s="5" t="s">
        <v>161</v>
      </c>
      <c r="I12" s="5" t="s">
        <v>3</v>
      </c>
      <c r="J12" s="5" t="s">
        <v>162</v>
      </c>
      <c r="K12" s="5" t="s">
        <v>163</v>
      </c>
      <c r="L12" s="5" t="s">
        <v>164</v>
      </c>
      <c r="M12" s="5">
        <v>9</v>
      </c>
      <c r="N12" s="5">
        <v>12</v>
      </c>
      <c r="O12" s="5">
        <v>4</v>
      </c>
      <c r="P12" s="5">
        <v>3</v>
      </c>
      <c r="Q12" s="5">
        <v>2</v>
      </c>
      <c r="R12" s="5">
        <v>10</v>
      </c>
      <c r="S12" s="5">
        <v>3</v>
      </c>
      <c r="T12" s="5">
        <v>9</v>
      </c>
      <c r="U12" s="5">
        <v>8</v>
      </c>
      <c r="V12" s="5">
        <v>6</v>
      </c>
      <c r="W12" s="5">
        <f t="shared" si="0"/>
        <v>66</v>
      </c>
      <c r="X12" s="5">
        <v>4</v>
      </c>
      <c r="Y12" s="5">
        <v>3</v>
      </c>
      <c r="Z12" s="5">
        <v>3</v>
      </c>
      <c r="AA12" s="5">
        <v>4</v>
      </c>
      <c r="AB12" s="5">
        <v>4</v>
      </c>
      <c r="AC12" s="5">
        <v>4</v>
      </c>
      <c r="AD12" s="5" t="s">
        <v>165</v>
      </c>
      <c r="AE12" s="5" t="s">
        <v>65</v>
      </c>
      <c r="AF12" s="5" t="s">
        <v>166</v>
      </c>
      <c r="AG12" s="5" t="s">
        <v>167</v>
      </c>
      <c r="AH12" s="5" t="s">
        <v>168</v>
      </c>
      <c r="AI12" s="5" t="s">
        <v>169</v>
      </c>
      <c r="AJ12" s="5" t="s">
        <v>170</v>
      </c>
      <c r="AK12" s="5" t="s">
        <v>171</v>
      </c>
    </row>
    <row r="13" spans="1:37" ht="78" customHeight="1" x14ac:dyDescent="0.2">
      <c r="A13" s="3">
        <v>10</v>
      </c>
      <c r="B13" s="3" t="s">
        <v>172</v>
      </c>
      <c r="C13" s="3" t="s">
        <v>173</v>
      </c>
      <c r="D13" s="3" t="s">
        <v>132</v>
      </c>
      <c r="E13" s="3" t="s">
        <v>174</v>
      </c>
      <c r="F13" s="3">
        <v>5</v>
      </c>
      <c r="G13" s="3" t="s">
        <v>43</v>
      </c>
      <c r="H13" s="3" t="s">
        <v>43</v>
      </c>
      <c r="I13" s="3" t="s">
        <v>44</v>
      </c>
      <c r="J13" s="3" t="s">
        <v>175</v>
      </c>
      <c r="K13" s="3" t="s">
        <v>176</v>
      </c>
      <c r="L13" s="3" t="s">
        <v>177</v>
      </c>
      <c r="M13" s="3">
        <v>8</v>
      </c>
      <c r="N13" s="3">
        <v>14</v>
      </c>
      <c r="O13" s="3">
        <v>2</v>
      </c>
      <c r="P13" s="3">
        <v>4</v>
      </c>
      <c r="Q13" s="3">
        <v>3</v>
      </c>
      <c r="R13" s="3">
        <v>8</v>
      </c>
      <c r="S13" s="3">
        <v>5</v>
      </c>
      <c r="T13" s="3">
        <v>5</v>
      </c>
      <c r="U13" s="3">
        <v>11</v>
      </c>
      <c r="V13" s="3">
        <v>6</v>
      </c>
      <c r="W13" s="3">
        <f t="shared" si="0"/>
        <v>66</v>
      </c>
      <c r="X13" s="3">
        <v>3</v>
      </c>
      <c r="Y13" s="3">
        <v>2</v>
      </c>
      <c r="Z13" s="3">
        <v>4</v>
      </c>
      <c r="AA13" s="3">
        <v>3</v>
      </c>
      <c r="AB13" s="3">
        <v>3</v>
      </c>
      <c r="AC13" s="3">
        <v>3</v>
      </c>
      <c r="AD13" s="3" t="s">
        <v>178</v>
      </c>
      <c r="AE13" s="3" t="s">
        <v>65</v>
      </c>
      <c r="AF13" s="3" t="s">
        <v>179</v>
      </c>
      <c r="AG13" s="3" t="s">
        <v>180</v>
      </c>
      <c r="AH13" s="3" t="s">
        <v>181</v>
      </c>
      <c r="AI13" s="3" t="s">
        <v>53</v>
      </c>
      <c r="AJ13" s="3" t="s">
        <v>182</v>
      </c>
      <c r="AK13" s="4" t="s">
        <v>183</v>
      </c>
    </row>
    <row r="14" spans="1:37" ht="78" customHeight="1" x14ac:dyDescent="0.2">
      <c r="A14" s="3">
        <v>11</v>
      </c>
      <c r="B14" s="3" t="s">
        <v>184</v>
      </c>
      <c r="C14" s="3" t="s">
        <v>185</v>
      </c>
      <c r="D14" s="3" t="s">
        <v>186</v>
      </c>
      <c r="E14" s="3" t="s">
        <v>187</v>
      </c>
      <c r="F14" s="3">
        <v>5</v>
      </c>
      <c r="G14" s="3" t="s">
        <v>119</v>
      </c>
      <c r="H14" s="3" t="s">
        <v>60</v>
      </c>
      <c r="I14" s="3" t="s">
        <v>3</v>
      </c>
      <c r="J14" s="3" t="s">
        <v>188</v>
      </c>
      <c r="K14" s="3" t="s">
        <v>189</v>
      </c>
      <c r="L14" s="3" t="s">
        <v>190</v>
      </c>
      <c r="M14" s="3">
        <v>8</v>
      </c>
      <c r="N14" s="3">
        <v>7</v>
      </c>
      <c r="O14" s="3">
        <v>3</v>
      </c>
      <c r="P14" s="3">
        <v>3</v>
      </c>
      <c r="Q14" s="3">
        <v>2</v>
      </c>
      <c r="R14" s="3">
        <v>7</v>
      </c>
      <c r="S14" s="3">
        <v>4</v>
      </c>
      <c r="T14" s="3">
        <v>8</v>
      </c>
      <c r="U14" s="3">
        <v>9</v>
      </c>
      <c r="V14" s="3">
        <v>5</v>
      </c>
      <c r="W14" s="3">
        <f t="shared" si="0"/>
        <v>56</v>
      </c>
      <c r="X14" s="3">
        <v>3</v>
      </c>
      <c r="Y14" s="3">
        <v>3</v>
      </c>
      <c r="Z14" s="3">
        <v>2</v>
      </c>
      <c r="AA14" s="3">
        <v>4</v>
      </c>
      <c r="AB14" s="3">
        <v>3</v>
      </c>
      <c r="AC14" s="3">
        <v>3</v>
      </c>
      <c r="AD14" s="3" t="s">
        <v>191</v>
      </c>
      <c r="AE14" s="3" t="s">
        <v>192</v>
      </c>
      <c r="AF14" s="3" t="s">
        <v>193</v>
      </c>
      <c r="AG14" s="3" t="s">
        <v>194</v>
      </c>
      <c r="AH14" s="3" t="s">
        <v>195</v>
      </c>
      <c r="AI14" s="3" t="s">
        <v>196</v>
      </c>
      <c r="AJ14" s="3" t="s">
        <v>197</v>
      </c>
      <c r="AK14" s="4" t="s">
        <v>198</v>
      </c>
    </row>
    <row r="15" spans="1:37" ht="78" customHeight="1" x14ac:dyDescent="0.2">
      <c r="A15" s="3">
        <v>12</v>
      </c>
      <c r="B15" s="3" t="s">
        <v>199</v>
      </c>
      <c r="C15" s="3" t="s">
        <v>200</v>
      </c>
      <c r="D15" s="3" t="s">
        <v>201</v>
      </c>
      <c r="E15" s="3" t="s">
        <v>202</v>
      </c>
      <c r="F15" s="3">
        <v>5</v>
      </c>
      <c r="G15" s="3" t="s">
        <v>89</v>
      </c>
      <c r="H15" s="3" t="s">
        <v>203</v>
      </c>
      <c r="I15" s="3" t="s">
        <v>3</v>
      </c>
      <c r="J15" s="3" t="s">
        <v>204</v>
      </c>
      <c r="K15" s="3" t="s">
        <v>205</v>
      </c>
      <c r="L15" s="3" t="s">
        <v>206</v>
      </c>
      <c r="M15" s="3">
        <v>9</v>
      </c>
      <c r="N15" s="3">
        <v>5</v>
      </c>
      <c r="O15" s="3">
        <v>2</v>
      </c>
      <c r="P15" s="3">
        <v>3</v>
      </c>
      <c r="Q15" s="3">
        <v>6</v>
      </c>
      <c r="R15" s="3">
        <v>5</v>
      </c>
      <c r="S15" s="3">
        <v>2</v>
      </c>
      <c r="T15" s="3">
        <v>8</v>
      </c>
      <c r="U15" s="3">
        <v>10</v>
      </c>
      <c r="V15" s="3">
        <v>5</v>
      </c>
      <c r="W15" s="3">
        <f t="shared" si="0"/>
        <v>55</v>
      </c>
      <c r="X15" s="3">
        <v>3</v>
      </c>
      <c r="Y15" s="3">
        <v>4</v>
      </c>
      <c r="Z15" s="3">
        <v>2</v>
      </c>
      <c r="AA15" s="3">
        <v>3</v>
      </c>
      <c r="AB15" s="3">
        <v>4</v>
      </c>
      <c r="AC15" s="3">
        <v>3</v>
      </c>
      <c r="AD15" s="3" t="s">
        <v>207</v>
      </c>
      <c r="AE15" s="3" t="s">
        <v>192</v>
      </c>
      <c r="AF15" s="3" t="s">
        <v>208</v>
      </c>
      <c r="AG15" s="3" t="s">
        <v>209</v>
      </c>
      <c r="AH15" s="3" t="s">
        <v>210</v>
      </c>
      <c r="AI15" s="3" t="s">
        <v>53</v>
      </c>
      <c r="AJ15" s="3" t="s">
        <v>211</v>
      </c>
      <c r="AK15" s="3" t="s">
        <v>212</v>
      </c>
    </row>
    <row r="16" spans="1:37" ht="78" customHeight="1" x14ac:dyDescent="0.2">
      <c r="A16" s="3">
        <v>13</v>
      </c>
      <c r="B16" s="3" t="s">
        <v>213</v>
      </c>
      <c r="C16" s="3" t="s">
        <v>214</v>
      </c>
      <c r="D16" s="3" t="s">
        <v>186</v>
      </c>
      <c r="E16" s="3" t="s">
        <v>174</v>
      </c>
      <c r="F16" s="3">
        <v>5</v>
      </c>
      <c r="G16" s="3" t="s">
        <v>43</v>
      </c>
      <c r="H16" s="3" t="s">
        <v>43</v>
      </c>
      <c r="I16" s="3" t="s">
        <v>44</v>
      </c>
      <c r="J16" s="3" t="s">
        <v>215</v>
      </c>
      <c r="K16" s="3" t="s">
        <v>216</v>
      </c>
      <c r="L16" s="3" t="s">
        <v>217</v>
      </c>
      <c r="M16" s="3">
        <v>8</v>
      </c>
      <c r="N16" s="3">
        <v>8</v>
      </c>
      <c r="O16" s="3">
        <v>1</v>
      </c>
      <c r="P16" s="3">
        <v>3</v>
      </c>
      <c r="Q16" s="3">
        <v>5</v>
      </c>
      <c r="R16" s="3">
        <v>6</v>
      </c>
      <c r="S16" s="3">
        <v>3</v>
      </c>
      <c r="T16" s="3">
        <v>6</v>
      </c>
      <c r="U16" s="3">
        <v>10</v>
      </c>
      <c r="V16" s="3">
        <v>5</v>
      </c>
      <c r="W16" s="3">
        <f t="shared" si="0"/>
        <v>55</v>
      </c>
      <c r="X16" s="3">
        <v>3</v>
      </c>
      <c r="Y16" s="3">
        <v>4</v>
      </c>
      <c r="Z16" s="3">
        <v>2</v>
      </c>
      <c r="AA16" s="3">
        <v>3</v>
      </c>
      <c r="AB16" s="3">
        <v>4</v>
      </c>
      <c r="AC16" s="3">
        <v>3</v>
      </c>
      <c r="AD16" s="3" t="s">
        <v>218</v>
      </c>
      <c r="AE16" s="3" t="s">
        <v>65</v>
      </c>
      <c r="AF16" s="3" t="s">
        <v>219</v>
      </c>
      <c r="AG16" s="3" t="s">
        <v>220</v>
      </c>
      <c r="AH16" s="3" t="s">
        <v>221</v>
      </c>
      <c r="AI16" s="3" t="s">
        <v>53</v>
      </c>
      <c r="AJ16" s="3" t="s">
        <v>222</v>
      </c>
      <c r="AK16" s="3" t="s">
        <v>223</v>
      </c>
    </row>
    <row r="17" spans="1:37" ht="78" customHeight="1" x14ac:dyDescent="0.2">
      <c r="A17" s="3">
        <v>14</v>
      </c>
      <c r="B17" s="3" t="s">
        <v>224</v>
      </c>
      <c r="C17" s="3" t="s">
        <v>225</v>
      </c>
      <c r="D17" s="3" t="s">
        <v>186</v>
      </c>
      <c r="E17" s="3" t="s">
        <v>226</v>
      </c>
      <c r="F17" s="3">
        <v>5</v>
      </c>
      <c r="G17" s="3" t="s">
        <v>104</v>
      </c>
      <c r="H17" s="3" t="s">
        <v>227</v>
      </c>
      <c r="I17" s="3" t="s">
        <v>44</v>
      </c>
      <c r="J17" s="3" t="s">
        <v>228</v>
      </c>
      <c r="K17" s="3" t="s">
        <v>159</v>
      </c>
      <c r="L17" s="3" t="s">
        <v>229</v>
      </c>
      <c r="M17" s="3">
        <v>8</v>
      </c>
      <c r="N17" s="3">
        <v>8</v>
      </c>
      <c r="O17" s="3">
        <v>1</v>
      </c>
      <c r="P17" s="3">
        <v>5</v>
      </c>
      <c r="Q17" s="3">
        <v>4</v>
      </c>
      <c r="R17" s="3">
        <v>5</v>
      </c>
      <c r="S17" s="3">
        <v>3</v>
      </c>
      <c r="T17" s="3">
        <v>7</v>
      </c>
      <c r="U17" s="3">
        <v>7</v>
      </c>
      <c r="V17" s="3">
        <v>5</v>
      </c>
      <c r="W17" s="3">
        <f t="shared" si="0"/>
        <v>53</v>
      </c>
      <c r="X17" s="3">
        <v>3</v>
      </c>
      <c r="Y17" s="3">
        <v>4</v>
      </c>
      <c r="Z17" s="3">
        <v>2</v>
      </c>
      <c r="AA17" s="3">
        <v>2</v>
      </c>
      <c r="AB17" s="3">
        <v>4</v>
      </c>
      <c r="AC17" s="3">
        <v>3</v>
      </c>
      <c r="AD17" s="3" t="s">
        <v>230</v>
      </c>
      <c r="AE17" s="3" t="s">
        <v>65</v>
      </c>
      <c r="AF17" s="3" t="s">
        <v>231</v>
      </c>
      <c r="AG17" s="3" t="s">
        <v>232</v>
      </c>
      <c r="AH17" s="3" t="s">
        <v>233</v>
      </c>
      <c r="AI17" s="3" t="s">
        <v>196</v>
      </c>
      <c r="AJ17" s="3" t="s">
        <v>234</v>
      </c>
      <c r="AK17" s="4" t="s">
        <v>235</v>
      </c>
    </row>
    <row r="18" spans="1:37" ht="78" customHeight="1" x14ac:dyDescent="0.2">
      <c r="A18" s="3">
        <v>15</v>
      </c>
      <c r="B18" s="3" t="s">
        <v>236</v>
      </c>
      <c r="C18" s="3" t="s">
        <v>237</v>
      </c>
      <c r="D18" s="3" t="s">
        <v>238</v>
      </c>
      <c r="E18" s="3" t="s">
        <v>174</v>
      </c>
      <c r="F18" s="3">
        <v>5</v>
      </c>
      <c r="G18" s="3" t="s">
        <v>43</v>
      </c>
      <c r="H18" s="3" t="s">
        <v>43</v>
      </c>
      <c r="I18" s="3" t="s">
        <v>44</v>
      </c>
      <c r="J18" s="3" t="s">
        <v>228</v>
      </c>
      <c r="K18" s="3" t="s">
        <v>239</v>
      </c>
      <c r="L18" s="3" t="s">
        <v>240</v>
      </c>
      <c r="M18" s="3">
        <v>8</v>
      </c>
      <c r="N18" s="3">
        <v>7</v>
      </c>
      <c r="O18" s="3">
        <v>5</v>
      </c>
      <c r="P18" s="3">
        <v>2</v>
      </c>
      <c r="Q18" s="3">
        <v>1</v>
      </c>
      <c r="R18" s="3">
        <v>5</v>
      </c>
      <c r="S18" s="3">
        <v>2</v>
      </c>
      <c r="T18" s="3">
        <v>5</v>
      </c>
      <c r="U18" s="3">
        <v>11</v>
      </c>
      <c r="V18" s="3">
        <v>5</v>
      </c>
      <c r="W18" s="3">
        <f t="shared" si="0"/>
        <v>51</v>
      </c>
      <c r="X18" s="3">
        <v>2</v>
      </c>
      <c r="Y18" s="3">
        <v>4</v>
      </c>
      <c r="Z18" s="3">
        <v>3</v>
      </c>
      <c r="AA18" s="3">
        <v>2</v>
      </c>
      <c r="AB18" s="3">
        <v>3</v>
      </c>
      <c r="AC18" s="3">
        <v>3</v>
      </c>
      <c r="AD18" s="3" t="s">
        <v>241</v>
      </c>
      <c r="AE18" s="3" t="s">
        <v>192</v>
      </c>
      <c r="AF18" s="3" t="s">
        <v>242</v>
      </c>
      <c r="AG18" s="3" t="s">
        <v>243</v>
      </c>
      <c r="AH18" s="3" t="s">
        <v>244</v>
      </c>
      <c r="AI18" s="3" t="s">
        <v>53</v>
      </c>
      <c r="AJ18" s="3" t="s">
        <v>245</v>
      </c>
      <c r="AK18" s="3" t="s">
        <v>246</v>
      </c>
    </row>
    <row r="19" spans="1:37" ht="78" customHeight="1" x14ac:dyDescent="0.2">
      <c r="A19" s="3">
        <v>16</v>
      </c>
      <c r="B19" s="3" t="s">
        <v>247</v>
      </c>
      <c r="C19" s="3" t="s">
        <v>248</v>
      </c>
      <c r="D19" s="3" t="s">
        <v>238</v>
      </c>
      <c r="E19" s="3" t="s">
        <v>174</v>
      </c>
      <c r="F19" s="3">
        <v>5</v>
      </c>
      <c r="G19" s="3" t="s">
        <v>43</v>
      </c>
      <c r="H19" s="3" t="s">
        <v>43</v>
      </c>
      <c r="I19" s="3" t="s">
        <v>44</v>
      </c>
      <c r="J19" s="3" t="s">
        <v>228</v>
      </c>
      <c r="K19" s="3" t="s">
        <v>159</v>
      </c>
      <c r="L19" s="3" t="s">
        <v>249</v>
      </c>
      <c r="M19" s="3">
        <v>8</v>
      </c>
      <c r="N19" s="3">
        <v>8</v>
      </c>
      <c r="O19" s="3">
        <v>1</v>
      </c>
      <c r="P19" s="3">
        <v>4</v>
      </c>
      <c r="Q19" s="3">
        <v>3</v>
      </c>
      <c r="R19" s="3">
        <v>5</v>
      </c>
      <c r="S19" s="3">
        <v>3</v>
      </c>
      <c r="T19" s="3">
        <v>6</v>
      </c>
      <c r="U19" s="3">
        <v>9</v>
      </c>
      <c r="V19" s="3">
        <v>4</v>
      </c>
      <c r="W19" s="3">
        <f t="shared" si="0"/>
        <v>51</v>
      </c>
      <c r="X19" s="3">
        <v>2</v>
      </c>
      <c r="Y19" s="3">
        <v>4</v>
      </c>
      <c r="Z19" s="3">
        <v>2</v>
      </c>
      <c r="AA19" s="3">
        <v>2</v>
      </c>
      <c r="AB19" s="3">
        <v>3</v>
      </c>
      <c r="AC19" s="3">
        <v>3</v>
      </c>
      <c r="AD19" s="3" t="s">
        <v>250</v>
      </c>
      <c r="AE19" s="3" t="s">
        <v>192</v>
      </c>
      <c r="AF19" s="3" t="s">
        <v>251</v>
      </c>
      <c r="AG19" s="3" t="s">
        <v>252</v>
      </c>
      <c r="AH19" s="3" t="s">
        <v>253</v>
      </c>
      <c r="AI19" s="3" t="s">
        <v>196</v>
      </c>
      <c r="AJ19" s="3" t="s">
        <v>254</v>
      </c>
      <c r="AK19" s="4" t="s">
        <v>255</v>
      </c>
    </row>
    <row r="20" spans="1:37" ht="78" customHeight="1" x14ac:dyDescent="0.2">
      <c r="A20" s="3">
        <v>17</v>
      </c>
      <c r="B20" s="3" t="s">
        <v>256</v>
      </c>
      <c r="C20" s="3" t="s">
        <v>257</v>
      </c>
      <c r="D20" s="3" t="s">
        <v>258</v>
      </c>
      <c r="E20" s="3" t="s">
        <v>259</v>
      </c>
      <c r="F20" s="3">
        <v>5</v>
      </c>
      <c r="G20" s="3" t="s">
        <v>59</v>
      </c>
      <c r="H20" s="3" t="s">
        <v>60</v>
      </c>
      <c r="I20" s="3" t="s">
        <v>3</v>
      </c>
      <c r="J20" s="3" t="s">
        <v>188</v>
      </c>
      <c r="K20" s="3" t="s">
        <v>159</v>
      </c>
      <c r="L20" s="3" t="s">
        <v>260</v>
      </c>
      <c r="M20" s="3">
        <v>8</v>
      </c>
      <c r="N20" s="3">
        <v>5</v>
      </c>
      <c r="O20" s="3">
        <v>1</v>
      </c>
      <c r="P20" s="3">
        <v>3</v>
      </c>
      <c r="Q20" s="3">
        <v>6</v>
      </c>
      <c r="R20" s="3">
        <v>5</v>
      </c>
      <c r="S20" s="3">
        <v>3</v>
      </c>
      <c r="T20" s="3">
        <v>8</v>
      </c>
      <c r="U20" s="3">
        <v>7</v>
      </c>
      <c r="V20" s="3">
        <v>4</v>
      </c>
      <c r="W20" s="3">
        <f t="shared" si="0"/>
        <v>50</v>
      </c>
      <c r="X20" s="3">
        <v>4</v>
      </c>
      <c r="Y20" s="3">
        <v>4</v>
      </c>
      <c r="Z20" s="3">
        <v>1</v>
      </c>
      <c r="AA20" s="3">
        <v>3</v>
      </c>
      <c r="AB20" s="3">
        <v>5</v>
      </c>
      <c r="AC20" s="3">
        <v>3</v>
      </c>
      <c r="AD20" s="3" t="s">
        <v>261</v>
      </c>
      <c r="AE20" s="3" t="s">
        <v>65</v>
      </c>
      <c r="AF20" s="3" t="s">
        <v>262</v>
      </c>
      <c r="AG20" s="3" t="s">
        <v>263</v>
      </c>
      <c r="AH20" s="3" t="s">
        <v>264</v>
      </c>
      <c r="AI20" s="3" t="s">
        <v>196</v>
      </c>
      <c r="AJ20" s="3" t="s">
        <v>265</v>
      </c>
      <c r="AK20" s="4" t="s">
        <v>266</v>
      </c>
    </row>
    <row r="21" spans="1:37" ht="78" customHeight="1" x14ac:dyDescent="0.2">
      <c r="A21" s="3">
        <v>18</v>
      </c>
      <c r="B21" s="3" t="s">
        <v>267</v>
      </c>
      <c r="C21" s="3" t="s">
        <v>268</v>
      </c>
      <c r="D21" s="3" t="s">
        <v>238</v>
      </c>
      <c r="E21" s="3" t="s">
        <v>269</v>
      </c>
      <c r="F21" s="3">
        <v>5</v>
      </c>
      <c r="G21" s="3" t="s">
        <v>89</v>
      </c>
      <c r="H21" s="3" t="s">
        <v>120</v>
      </c>
      <c r="I21" s="3" t="s">
        <v>3</v>
      </c>
      <c r="J21" s="3" t="s">
        <v>188</v>
      </c>
      <c r="K21" s="3" t="s">
        <v>270</v>
      </c>
      <c r="L21" s="3" t="s">
        <v>271</v>
      </c>
      <c r="M21" s="3">
        <v>8</v>
      </c>
      <c r="N21" s="3">
        <v>4</v>
      </c>
      <c r="O21" s="3">
        <v>1</v>
      </c>
      <c r="P21" s="3">
        <v>3</v>
      </c>
      <c r="Q21" s="3">
        <v>6</v>
      </c>
      <c r="R21" s="3">
        <v>4</v>
      </c>
      <c r="S21" s="3">
        <v>2</v>
      </c>
      <c r="T21" s="3">
        <v>9</v>
      </c>
      <c r="U21" s="3">
        <v>6</v>
      </c>
      <c r="V21" s="3">
        <v>5</v>
      </c>
      <c r="W21" s="3">
        <f t="shared" si="0"/>
        <v>48</v>
      </c>
      <c r="X21" s="3">
        <v>4</v>
      </c>
      <c r="Y21" s="3">
        <v>4</v>
      </c>
      <c r="Z21" s="3">
        <v>1</v>
      </c>
      <c r="AA21" s="3">
        <v>3</v>
      </c>
      <c r="AB21" s="3">
        <v>5</v>
      </c>
      <c r="AC21" s="3">
        <v>3</v>
      </c>
      <c r="AD21" s="3" t="s">
        <v>272</v>
      </c>
      <c r="AE21" s="3" t="s">
        <v>65</v>
      </c>
      <c r="AF21" s="3" t="s">
        <v>208</v>
      </c>
      <c r="AG21" s="3" t="s">
        <v>273</v>
      </c>
      <c r="AH21" s="3" t="s">
        <v>274</v>
      </c>
      <c r="AI21" s="3" t="s">
        <v>53</v>
      </c>
      <c r="AJ21" s="3" t="s">
        <v>275</v>
      </c>
      <c r="AK21" s="4" t="s">
        <v>276</v>
      </c>
    </row>
    <row r="22" spans="1:37" ht="78" customHeight="1" x14ac:dyDescent="0.2">
      <c r="A22" s="3">
        <v>19</v>
      </c>
      <c r="B22" s="3" t="s">
        <v>277</v>
      </c>
      <c r="C22" s="3" t="s">
        <v>278</v>
      </c>
      <c r="D22" s="3" t="s">
        <v>279</v>
      </c>
      <c r="E22" s="3" t="s">
        <v>280</v>
      </c>
      <c r="F22" s="3">
        <v>5</v>
      </c>
      <c r="G22" s="3" t="s">
        <v>89</v>
      </c>
      <c r="H22" s="3" t="s">
        <v>60</v>
      </c>
      <c r="I22" s="3" t="s">
        <v>3</v>
      </c>
      <c r="J22" s="3" t="s">
        <v>188</v>
      </c>
      <c r="K22" s="3" t="s">
        <v>159</v>
      </c>
      <c r="L22" s="3" t="s">
        <v>281</v>
      </c>
      <c r="M22" s="3">
        <v>7</v>
      </c>
      <c r="N22" s="3">
        <v>4</v>
      </c>
      <c r="O22" s="3">
        <v>2</v>
      </c>
      <c r="P22" s="3">
        <v>2</v>
      </c>
      <c r="Q22" s="3">
        <v>2</v>
      </c>
      <c r="R22" s="3">
        <v>3</v>
      </c>
      <c r="S22" s="3">
        <v>1</v>
      </c>
      <c r="T22" s="3">
        <v>8</v>
      </c>
      <c r="U22" s="3">
        <v>5</v>
      </c>
      <c r="V22" s="3">
        <v>3</v>
      </c>
      <c r="W22" s="3">
        <f t="shared" si="0"/>
        <v>37</v>
      </c>
      <c r="X22" s="3">
        <v>4</v>
      </c>
      <c r="Y22" s="3">
        <v>4</v>
      </c>
      <c r="Z22" s="3">
        <v>1</v>
      </c>
      <c r="AA22" s="3">
        <v>2</v>
      </c>
      <c r="AB22" s="3">
        <v>5</v>
      </c>
      <c r="AC22" s="3">
        <v>2</v>
      </c>
      <c r="AD22" s="3" t="s">
        <v>282</v>
      </c>
      <c r="AE22" s="3" t="s">
        <v>192</v>
      </c>
      <c r="AF22" s="3" t="s">
        <v>283</v>
      </c>
      <c r="AG22" s="3" t="s">
        <v>284</v>
      </c>
      <c r="AH22" s="3" t="s">
        <v>285</v>
      </c>
      <c r="AI22" s="3" t="s">
        <v>53</v>
      </c>
      <c r="AJ22" s="3" t="s">
        <v>286</v>
      </c>
      <c r="AK22" s="4" t="s">
        <v>287</v>
      </c>
    </row>
    <row r="23" spans="1:37" ht="78" customHeight="1" x14ac:dyDescent="0.2">
      <c r="A23" s="3">
        <v>20</v>
      </c>
      <c r="B23" s="3" t="s">
        <v>288</v>
      </c>
      <c r="C23" s="3" t="s">
        <v>289</v>
      </c>
      <c r="D23" s="3" t="s">
        <v>186</v>
      </c>
      <c r="E23" s="3" t="s">
        <v>58</v>
      </c>
      <c r="F23" s="3">
        <v>5</v>
      </c>
      <c r="G23" s="3" t="s">
        <v>119</v>
      </c>
      <c r="H23" s="3" t="s">
        <v>60</v>
      </c>
      <c r="I23" s="3" t="s">
        <v>3</v>
      </c>
      <c r="J23" s="3" t="s">
        <v>188</v>
      </c>
      <c r="K23" s="3" t="s">
        <v>159</v>
      </c>
      <c r="L23" s="3" t="s">
        <v>159</v>
      </c>
      <c r="M23" s="3">
        <v>6</v>
      </c>
      <c r="N23" s="3">
        <v>3</v>
      </c>
      <c r="O23" s="3">
        <v>1</v>
      </c>
      <c r="P23" s="3">
        <v>1</v>
      </c>
      <c r="Q23" s="3">
        <v>3</v>
      </c>
      <c r="R23" s="3">
        <v>3</v>
      </c>
      <c r="S23" s="3">
        <v>1</v>
      </c>
      <c r="T23" s="3">
        <v>6</v>
      </c>
      <c r="U23" s="3">
        <v>6</v>
      </c>
      <c r="V23" s="3">
        <v>3</v>
      </c>
      <c r="W23" s="3">
        <f t="shared" si="0"/>
        <v>33</v>
      </c>
      <c r="X23" s="3">
        <v>4</v>
      </c>
      <c r="Y23" s="3">
        <v>4</v>
      </c>
      <c r="Z23" s="3">
        <v>1</v>
      </c>
      <c r="AA23" s="3">
        <v>2</v>
      </c>
      <c r="AB23" s="3">
        <v>5</v>
      </c>
      <c r="AC23" s="3">
        <v>1</v>
      </c>
      <c r="AD23" s="3" t="s">
        <v>290</v>
      </c>
      <c r="AE23" s="3" t="s">
        <v>192</v>
      </c>
      <c r="AF23" s="3" t="s">
        <v>291</v>
      </c>
      <c r="AG23" s="3" t="s">
        <v>292</v>
      </c>
      <c r="AH23" s="3" t="s">
        <v>293</v>
      </c>
      <c r="AI23" s="3" t="s">
        <v>196</v>
      </c>
      <c r="AJ23" s="3" t="s">
        <v>294</v>
      </c>
      <c r="AK23" s="4" t="s">
        <v>295</v>
      </c>
    </row>
  </sheetData>
  <autoFilter ref="A3:AK23" xr:uid="{00000000-0009-0000-0000-000000000000}"/>
  <mergeCells count="1">
    <mergeCell ref="A1:AK1"/>
  </mergeCells>
  <conditionalFormatting sqref="W4:W23">
    <cfRule type="colorScale" priority="1">
      <colorScale>
        <cfvo type="num" val="35"/>
        <cfvo type="num" val="65"/>
        <cfvo type="num" val="85"/>
        <color rgb="FFF4CCCC"/>
        <color rgb="FFFFF2CC"/>
        <color rgb="FFD9EAD3"/>
      </colorScale>
    </cfRule>
  </conditionalFormatting>
  <conditionalFormatting sqref="X4:X23">
    <cfRule type="colorScale" priority="2">
      <colorScale>
        <cfvo type="num" val="1"/>
        <cfvo type="num" val="5"/>
        <color rgb="FFD9EAD3"/>
        <color rgb="FFF4CCCC"/>
      </colorScale>
    </cfRule>
  </conditionalFormatting>
  <conditionalFormatting sqref="Z4:Z23">
    <cfRule type="colorScale" priority="3">
      <colorScale>
        <cfvo type="num" val="1"/>
        <cfvo type="num" val="5"/>
        <color rgb="FFF4CCCC"/>
        <color rgb="FFD9EAD3"/>
      </colorScale>
    </cfRule>
  </conditionalFormatting>
  <hyperlinks>
    <hyperlink ref="AK6" r:id="rId1" xr:uid="{00000000-0004-0000-0000-000000000000}"/>
    <hyperlink ref="AK7" r:id="rId2" xr:uid="{00000000-0004-0000-0000-000001000000}"/>
    <hyperlink ref="AK9" r:id="rId3" xr:uid="{00000000-0004-0000-0000-000002000000}"/>
    <hyperlink ref="AK10" r:id="rId4" xr:uid="{00000000-0004-0000-0000-000003000000}"/>
    <hyperlink ref="AK13" r:id="rId5" xr:uid="{00000000-0004-0000-0000-000004000000}"/>
    <hyperlink ref="AK14" r:id="rId6" xr:uid="{00000000-0004-0000-0000-000005000000}"/>
    <hyperlink ref="AK17" r:id="rId7" xr:uid="{00000000-0004-0000-0000-000006000000}"/>
    <hyperlink ref="AK19" r:id="rId8" xr:uid="{00000000-0004-0000-0000-000007000000}"/>
    <hyperlink ref="AK20" r:id="rId9" xr:uid="{00000000-0004-0000-0000-000008000000}"/>
    <hyperlink ref="AK21" r:id="rId10" xr:uid="{00000000-0004-0000-0000-000009000000}"/>
    <hyperlink ref="AK22" r:id="rId11" xr:uid="{00000000-0004-0000-0000-00000A000000}"/>
    <hyperlink ref="AK23" r:id="rId12" xr:uid="{00000000-0004-0000-0000-00000B000000}"/>
  </hyperlinks>
  <pageMargins left="0.75" right="0.75" top="1" bottom="1" header="0.5" footer="0.5"/>
  <legacy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"/>
  <sheetViews>
    <sheetView showGridLines="0"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4" customWidth="1"/>
    <col min="3" max="6" width="34" customWidth="1"/>
    <col min="7" max="7" width="14" customWidth="1"/>
    <col min="8" max="8" width="20" customWidth="1"/>
    <col min="9" max="9" width="18" customWidth="1"/>
    <col min="10" max="14" width="38" customWidth="1"/>
    <col min="15" max="15" width="22" customWidth="1"/>
  </cols>
  <sheetData>
    <row r="1" spans="1:15" ht="28" customHeight="1" x14ac:dyDescent="0.2">
      <c r="A1" s="9" t="s">
        <v>296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">
      <c r="A2" s="1" t="s">
        <v>297</v>
      </c>
    </row>
    <row r="3" spans="1:15" ht="32" x14ac:dyDescent="0.2">
      <c r="A3" s="2" t="s">
        <v>298</v>
      </c>
      <c r="B3" s="2" t="s">
        <v>299</v>
      </c>
      <c r="C3" s="2" t="s">
        <v>300</v>
      </c>
      <c r="D3" s="2" t="s">
        <v>301</v>
      </c>
      <c r="E3" s="2" t="s">
        <v>302</v>
      </c>
      <c r="F3" s="2" t="s">
        <v>303</v>
      </c>
      <c r="G3" s="2" t="s">
        <v>304</v>
      </c>
      <c r="H3" s="2" t="s">
        <v>305</v>
      </c>
      <c r="I3" s="2" t="s">
        <v>306</v>
      </c>
      <c r="J3" s="2" t="s">
        <v>307</v>
      </c>
      <c r="K3" s="2" t="s">
        <v>308</v>
      </c>
      <c r="L3" s="2" t="s">
        <v>309</v>
      </c>
      <c r="M3" s="2" t="s">
        <v>310</v>
      </c>
      <c r="N3" s="2" t="s">
        <v>311</v>
      </c>
      <c r="O3" s="2" t="s">
        <v>312</v>
      </c>
    </row>
    <row r="4" spans="1:15" ht="92" customHeight="1" x14ac:dyDescent="0.2">
      <c r="A4" s="3" t="s">
        <v>313</v>
      </c>
      <c r="B4" s="3" t="s">
        <v>314</v>
      </c>
      <c r="C4" s="3" t="s">
        <v>155</v>
      </c>
      <c r="D4" s="3" t="s">
        <v>39</v>
      </c>
      <c r="E4" s="3" t="s">
        <v>56</v>
      </c>
      <c r="F4" s="3" t="s">
        <v>100</v>
      </c>
      <c r="G4" s="3">
        <v>86</v>
      </c>
      <c r="H4" s="3" t="s">
        <v>315</v>
      </c>
      <c r="I4" s="3" t="s">
        <v>316</v>
      </c>
      <c r="J4" s="3" t="s">
        <v>317</v>
      </c>
      <c r="K4" s="3" t="s">
        <v>318</v>
      </c>
      <c r="L4" s="3" t="s">
        <v>319</v>
      </c>
      <c r="M4" s="3" t="s">
        <v>320</v>
      </c>
      <c r="N4" s="3" t="s">
        <v>321</v>
      </c>
      <c r="O4" s="3" t="s">
        <v>322</v>
      </c>
    </row>
    <row r="5" spans="1:15" ht="92" customHeight="1" x14ac:dyDescent="0.2">
      <c r="A5" s="3" t="s">
        <v>323</v>
      </c>
      <c r="B5" s="3" t="s">
        <v>324</v>
      </c>
      <c r="C5" s="3" t="s">
        <v>155</v>
      </c>
      <c r="D5" s="3" t="s">
        <v>39</v>
      </c>
      <c r="E5" s="3" t="s">
        <v>72</v>
      </c>
      <c r="F5" s="3" t="s">
        <v>86</v>
      </c>
      <c r="G5" s="3">
        <v>82</v>
      </c>
      <c r="H5" s="3" t="s">
        <v>325</v>
      </c>
      <c r="I5" s="3" t="s">
        <v>326</v>
      </c>
      <c r="J5" s="3" t="s">
        <v>327</v>
      </c>
      <c r="K5" s="3" t="s">
        <v>328</v>
      </c>
      <c r="L5" s="3" t="s">
        <v>329</v>
      </c>
      <c r="M5" s="3" t="s">
        <v>330</v>
      </c>
      <c r="N5" s="3" t="s">
        <v>331</v>
      </c>
      <c r="O5" s="3" t="s">
        <v>332</v>
      </c>
    </row>
    <row r="6" spans="1:15" ht="92" customHeight="1" x14ac:dyDescent="0.2">
      <c r="A6" s="3" t="s">
        <v>333</v>
      </c>
      <c r="B6" s="3" t="s">
        <v>334</v>
      </c>
      <c r="C6" s="3" t="s">
        <v>155</v>
      </c>
      <c r="D6" s="3" t="s">
        <v>100</v>
      </c>
      <c r="E6" s="3" t="s">
        <v>199</v>
      </c>
      <c r="F6" s="3" t="s">
        <v>256</v>
      </c>
      <c r="G6" s="3">
        <v>73</v>
      </c>
      <c r="H6" s="3" t="s">
        <v>335</v>
      </c>
      <c r="I6" s="3" t="s">
        <v>336</v>
      </c>
      <c r="J6" s="3" t="s">
        <v>337</v>
      </c>
      <c r="K6" s="3" t="s">
        <v>338</v>
      </c>
      <c r="L6" s="3" t="s">
        <v>339</v>
      </c>
      <c r="M6" s="3" t="s">
        <v>340</v>
      </c>
      <c r="N6" s="3" t="s">
        <v>341</v>
      </c>
      <c r="O6" s="3" t="s">
        <v>342</v>
      </c>
    </row>
    <row r="7" spans="1:15" ht="92" customHeight="1" x14ac:dyDescent="0.2">
      <c r="A7" s="3" t="s">
        <v>343</v>
      </c>
      <c r="B7" s="3" t="s">
        <v>344</v>
      </c>
      <c r="C7" s="3" t="s">
        <v>155</v>
      </c>
      <c r="D7" s="3" t="s">
        <v>39</v>
      </c>
      <c r="E7" s="3" t="s">
        <v>56</v>
      </c>
      <c r="F7" s="3" t="s">
        <v>172</v>
      </c>
      <c r="G7" s="3">
        <v>83</v>
      </c>
      <c r="H7" s="3" t="s">
        <v>345</v>
      </c>
      <c r="I7" s="3" t="s">
        <v>346</v>
      </c>
      <c r="J7" s="3" t="s">
        <v>347</v>
      </c>
      <c r="K7" s="3" t="s">
        <v>348</v>
      </c>
      <c r="L7" s="3" t="s">
        <v>349</v>
      </c>
      <c r="M7" s="3" t="s">
        <v>350</v>
      </c>
      <c r="N7" s="3" t="s">
        <v>351</v>
      </c>
      <c r="O7" s="3" t="s">
        <v>352</v>
      </c>
    </row>
    <row r="8" spans="1:15" ht="92" customHeight="1" x14ac:dyDescent="0.2">
      <c r="A8" s="3" t="s">
        <v>353</v>
      </c>
      <c r="B8" s="3" t="s">
        <v>354</v>
      </c>
      <c r="C8" s="3" t="s">
        <v>155</v>
      </c>
      <c r="D8" s="3" t="s">
        <v>100</v>
      </c>
      <c r="E8" s="3" t="s">
        <v>115</v>
      </c>
      <c r="F8" s="3" t="s">
        <v>184</v>
      </c>
      <c r="G8" s="3">
        <v>77</v>
      </c>
      <c r="H8" s="3" t="s">
        <v>355</v>
      </c>
      <c r="I8" s="3" t="s">
        <v>356</v>
      </c>
      <c r="J8" s="3" t="s">
        <v>357</v>
      </c>
      <c r="K8" s="3" t="s">
        <v>358</v>
      </c>
      <c r="L8" s="3" t="s">
        <v>359</v>
      </c>
      <c r="M8" s="3" t="s">
        <v>360</v>
      </c>
      <c r="N8" s="3" t="s">
        <v>361</v>
      </c>
      <c r="O8" s="3" t="s">
        <v>362</v>
      </c>
    </row>
    <row r="11" spans="1:15" ht="32" x14ac:dyDescent="0.2">
      <c r="A11" s="6" t="s">
        <v>363</v>
      </c>
      <c r="B11" s="3" t="s">
        <v>364</v>
      </c>
      <c r="C11" s="3" t="str">
        <f>IF(COUNTIF(C4:C8,"Distributed Systems*")=COUNTA(C4:C8),"OK","CHECK")</f>
        <v>OK</v>
      </c>
    </row>
    <row r="12" spans="1:15" ht="48" x14ac:dyDescent="0.2">
      <c r="A12" s="3"/>
      <c r="B12" s="3" t="s">
        <v>365</v>
      </c>
      <c r="C12" s="3" t="s">
        <v>366</v>
      </c>
    </row>
    <row r="13" spans="1:15" ht="16" x14ac:dyDescent="0.2">
      <c r="A13" s="3"/>
      <c r="B13" s="3" t="s">
        <v>367</v>
      </c>
      <c r="C13" s="3" t="e">
        <f ca="1">_xludf.XLOOKUP("Oui - choix final",O4:O8,B4:B8,"CHECK")</f>
        <v>#NAME?</v>
      </c>
    </row>
  </sheetData>
  <mergeCells count="1">
    <mergeCell ref="A1:O1"/>
  </mergeCells>
  <conditionalFormatting sqref="G4:G8">
    <cfRule type="colorScale" priority="1">
      <colorScale>
        <cfvo type="num" val="70"/>
        <cfvo type="num" val="80"/>
        <cfvo type="num" val="88"/>
        <color rgb="FFF4CCCC"/>
        <color rgb="FFFFF2CC"/>
        <color rgb="FFD9EAD3"/>
      </colorScale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7"/>
  <sheetViews>
    <sheetView showGridLines="0"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5" width="16" customWidth="1"/>
    <col min="16" max="16" width="42" customWidth="1"/>
  </cols>
  <sheetData>
    <row r="1" spans="1:16" ht="28" customHeight="1" x14ac:dyDescent="0.2">
      <c r="A1" s="9" t="s">
        <v>368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x14ac:dyDescent="0.2">
      <c r="A2" s="1" t="s">
        <v>369</v>
      </c>
    </row>
    <row r="3" spans="1:16" ht="32" x14ac:dyDescent="0.2">
      <c r="A3" s="2" t="s">
        <v>3</v>
      </c>
      <c r="B3" s="2" t="s">
        <v>370</v>
      </c>
      <c r="C3" s="2" t="s">
        <v>371</v>
      </c>
      <c r="D3" s="2" t="s">
        <v>56</v>
      </c>
      <c r="E3" s="2" t="s">
        <v>372</v>
      </c>
      <c r="F3" s="2" t="s">
        <v>373</v>
      </c>
      <c r="G3" s="2" t="s">
        <v>374</v>
      </c>
      <c r="H3" s="2" t="s">
        <v>375</v>
      </c>
      <c r="I3" s="2" t="s">
        <v>376</v>
      </c>
      <c r="J3" s="2" t="s">
        <v>130</v>
      </c>
      <c r="K3" s="2" t="s">
        <v>377</v>
      </c>
      <c r="L3" s="2" t="s">
        <v>378</v>
      </c>
      <c r="M3" s="2" t="s">
        <v>379</v>
      </c>
      <c r="N3" s="2" t="s">
        <v>380</v>
      </c>
      <c r="O3" s="2" t="s">
        <v>267</v>
      </c>
      <c r="P3" s="2" t="s">
        <v>381</v>
      </c>
    </row>
    <row r="4" spans="1:16" ht="50" customHeight="1" x14ac:dyDescent="0.2">
      <c r="A4" s="3" t="s">
        <v>370</v>
      </c>
      <c r="B4" s="3"/>
      <c r="C4" s="3">
        <v>1</v>
      </c>
      <c r="D4" s="3">
        <v>1</v>
      </c>
      <c r="E4" s="3">
        <v>1</v>
      </c>
      <c r="F4" s="3">
        <v>-1</v>
      </c>
      <c r="G4" s="3">
        <v>0</v>
      </c>
      <c r="H4" s="3">
        <v>0</v>
      </c>
      <c r="I4" s="3">
        <v>-1</v>
      </c>
      <c r="J4" s="3">
        <v>0</v>
      </c>
      <c r="K4" s="3">
        <v>0</v>
      </c>
      <c r="L4" s="3">
        <v>1</v>
      </c>
      <c r="M4" s="3">
        <v>0</v>
      </c>
      <c r="N4" s="3">
        <v>0</v>
      </c>
      <c r="O4" s="3">
        <v>0</v>
      </c>
      <c r="P4" s="3" t="s">
        <v>382</v>
      </c>
    </row>
    <row r="5" spans="1:16" ht="50" customHeight="1" x14ac:dyDescent="0.2">
      <c r="A5" s="3" t="s">
        <v>371</v>
      </c>
      <c r="B5" s="3">
        <v>1</v>
      </c>
      <c r="C5" s="3"/>
      <c r="D5" s="3">
        <v>2</v>
      </c>
      <c r="E5" s="3">
        <v>1</v>
      </c>
      <c r="F5" s="3">
        <v>2</v>
      </c>
      <c r="G5" s="3">
        <v>1</v>
      </c>
      <c r="H5" s="3">
        <v>1</v>
      </c>
      <c r="I5" s="3">
        <v>2</v>
      </c>
      <c r="J5" s="3">
        <v>2</v>
      </c>
      <c r="K5" s="3">
        <v>0</v>
      </c>
      <c r="L5" s="3">
        <v>0</v>
      </c>
      <c r="M5" s="3">
        <v>1</v>
      </c>
      <c r="N5" s="3">
        <v>1</v>
      </c>
      <c r="O5" s="3">
        <v>0</v>
      </c>
      <c r="P5" s="3" t="s">
        <v>383</v>
      </c>
    </row>
    <row r="6" spans="1:16" ht="50" customHeight="1" x14ac:dyDescent="0.2">
      <c r="A6" s="3" t="s">
        <v>56</v>
      </c>
      <c r="B6" s="3">
        <v>1</v>
      </c>
      <c r="C6" s="3">
        <v>2</v>
      </c>
      <c r="D6" s="3"/>
      <c r="E6" s="3">
        <v>0</v>
      </c>
      <c r="F6" s="3">
        <v>2</v>
      </c>
      <c r="G6" s="3">
        <v>2</v>
      </c>
      <c r="H6" s="3">
        <v>1</v>
      </c>
      <c r="I6" s="3">
        <v>0</v>
      </c>
      <c r="J6" s="3">
        <v>-2</v>
      </c>
      <c r="K6" s="3">
        <v>0</v>
      </c>
      <c r="L6" s="3">
        <v>0</v>
      </c>
      <c r="M6" s="3">
        <v>1</v>
      </c>
      <c r="N6" s="3">
        <v>-2</v>
      </c>
      <c r="O6" s="3">
        <v>0</v>
      </c>
      <c r="P6" s="3" t="s">
        <v>384</v>
      </c>
    </row>
    <row r="7" spans="1:16" ht="50" customHeight="1" x14ac:dyDescent="0.2">
      <c r="A7" s="3" t="s">
        <v>372</v>
      </c>
      <c r="B7" s="3">
        <v>1</v>
      </c>
      <c r="C7" s="3">
        <v>1</v>
      </c>
      <c r="D7" s="3">
        <v>0</v>
      </c>
      <c r="E7" s="3"/>
      <c r="F7" s="3">
        <v>1</v>
      </c>
      <c r="G7" s="3">
        <v>0</v>
      </c>
      <c r="H7" s="3">
        <v>1</v>
      </c>
      <c r="I7" s="3">
        <v>0</v>
      </c>
      <c r="J7" s="3">
        <v>0</v>
      </c>
      <c r="K7" s="3">
        <v>1</v>
      </c>
      <c r="L7" s="3">
        <v>1</v>
      </c>
      <c r="M7" s="3">
        <v>0</v>
      </c>
      <c r="N7" s="3">
        <v>0</v>
      </c>
      <c r="O7" s="3">
        <v>0</v>
      </c>
      <c r="P7" s="3" t="s">
        <v>385</v>
      </c>
    </row>
    <row r="8" spans="1:16" ht="50" customHeight="1" x14ac:dyDescent="0.2">
      <c r="A8" s="3" t="s">
        <v>373</v>
      </c>
      <c r="B8" s="3">
        <v>-1</v>
      </c>
      <c r="C8" s="3">
        <v>2</v>
      </c>
      <c r="D8" s="3">
        <v>2</v>
      </c>
      <c r="E8" s="3">
        <v>1</v>
      </c>
      <c r="F8" s="3"/>
      <c r="G8" s="3">
        <v>2</v>
      </c>
      <c r="H8" s="3">
        <v>1</v>
      </c>
      <c r="I8" s="3">
        <v>0</v>
      </c>
      <c r="J8" s="3">
        <v>0</v>
      </c>
      <c r="K8" s="3">
        <v>0</v>
      </c>
      <c r="L8" s="3">
        <v>0</v>
      </c>
      <c r="M8" s="3">
        <v>1</v>
      </c>
      <c r="N8" s="3">
        <v>0</v>
      </c>
      <c r="O8" s="3">
        <v>0</v>
      </c>
      <c r="P8" s="3" t="s">
        <v>386</v>
      </c>
    </row>
    <row r="9" spans="1:16" ht="50" customHeight="1" x14ac:dyDescent="0.2">
      <c r="A9" s="3" t="s">
        <v>374</v>
      </c>
      <c r="B9" s="3">
        <v>0</v>
      </c>
      <c r="C9" s="3">
        <v>1</v>
      </c>
      <c r="D9" s="3">
        <v>2</v>
      </c>
      <c r="E9" s="3">
        <v>0</v>
      </c>
      <c r="F9" s="3">
        <v>2</v>
      </c>
      <c r="G9" s="3"/>
      <c r="H9" s="3">
        <v>1</v>
      </c>
      <c r="I9" s="3">
        <v>1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 t="s">
        <v>387</v>
      </c>
    </row>
    <row r="10" spans="1:16" ht="50" customHeight="1" x14ac:dyDescent="0.2">
      <c r="A10" s="3" t="s">
        <v>375</v>
      </c>
      <c r="B10" s="3">
        <v>0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  <c r="H10" s="3"/>
      <c r="I10" s="3">
        <v>0</v>
      </c>
      <c r="J10" s="3">
        <v>0</v>
      </c>
      <c r="K10" s="3">
        <v>0</v>
      </c>
      <c r="L10" s="3">
        <v>1</v>
      </c>
      <c r="M10" s="3">
        <v>0</v>
      </c>
      <c r="N10" s="3">
        <v>0</v>
      </c>
      <c r="O10" s="3">
        <v>0</v>
      </c>
      <c r="P10" s="3" t="s">
        <v>388</v>
      </c>
    </row>
    <row r="11" spans="1:16" ht="50" customHeight="1" x14ac:dyDescent="0.2">
      <c r="A11" s="3" t="s">
        <v>376</v>
      </c>
      <c r="B11" s="3">
        <v>-1</v>
      </c>
      <c r="C11" s="3">
        <v>2</v>
      </c>
      <c r="D11" s="3">
        <v>0</v>
      </c>
      <c r="E11" s="3">
        <v>0</v>
      </c>
      <c r="F11" s="3">
        <v>0</v>
      </c>
      <c r="G11" s="3">
        <v>1</v>
      </c>
      <c r="H11" s="3">
        <v>0</v>
      </c>
      <c r="I11" s="3"/>
      <c r="J11" s="3">
        <v>1</v>
      </c>
      <c r="K11" s="3">
        <v>1</v>
      </c>
      <c r="L11" s="3">
        <v>0</v>
      </c>
      <c r="M11" s="3">
        <v>0</v>
      </c>
      <c r="N11" s="3">
        <v>1</v>
      </c>
      <c r="O11" s="3">
        <v>0</v>
      </c>
      <c r="P11" s="3" t="s">
        <v>389</v>
      </c>
    </row>
    <row r="12" spans="1:16" ht="50" customHeight="1" x14ac:dyDescent="0.2">
      <c r="A12" s="3" t="s">
        <v>130</v>
      </c>
      <c r="B12" s="3">
        <v>0</v>
      </c>
      <c r="C12" s="3">
        <v>2</v>
      </c>
      <c r="D12" s="3">
        <v>-2</v>
      </c>
      <c r="E12" s="3">
        <v>0</v>
      </c>
      <c r="F12" s="3">
        <v>0</v>
      </c>
      <c r="G12" s="3">
        <v>1</v>
      </c>
      <c r="H12" s="3">
        <v>0</v>
      </c>
      <c r="I12" s="3">
        <v>1</v>
      </c>
      <c r="J12" s="3"/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 t="s">
        <v>390</v>
      </c>
    </row>
    <row r="13" spans="1:16" ht="50" customHeight="1" x14ac:dyDescent="0.2">
      <c r="A13" s="3" t="s">
        <v>377</v>
      </c>
      <c r="B13" s="3">
        <v>0</v>
      </c>
      <c r="C13" s="3">
        <v>0</v>
      </c>
      <c r="D13" s="3">
        <v>0</v>
      </c>
      <c r="E13" s="3">
        <v>1</v>
      </c>
      <c r="F13" s="3">
        <v>0</v>
      </c>
      <c r="G13" s="3">
        <v>0</v>
      </c>
      <c r="H13" s="3">
        <v>0</v>
      </c>
      <c r="I13" s="3">
        <v>1</v>
      </c>
      <c r="J13" s="3">
        <v>0</v>
      </c>
      <c r="K13" s="3"/>
      <c r="L13" s="3">
        <v>1</v>
      </c>
      <c r="M13" s="3">
        <v>0</v>
      </c>
      <c r="N13" s="3">
        <v>1</v>
      </c>
      <c r="O13" s="3">
        <v>-2</v>
      </c>
      <c r="P13" s="3" t="s">
        <v>391</v>
      </c>
    </row>
    <row r="14" spans="1:16" ht="50" customHeight="1" x14ac:dyDescent="0.2">
      <c r="A14" s="3" t="s">
        <v>378</v>
      </c>
      <c r="B14" s="3">
        <v>1</v>
      </c>
      <c r="C14" s="3">
        <v>0</v>
      </c>
      <c r="D14" s="3">
        <v>0</v>
      </c>
      <c r="E14" s="3">
        <v>1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3">
        <v>1</v>
      </c>
      <c r="L14" s="3"/>
      <c r="M14" s="3">
        <v>0</v>
      </c>
      <c r="N14" s="3">
        <v>0</v>
      </c>
      <c r="O14" s="3">
        <v>0</v>
      </c>
      <c r="P14" s="3" t="s">
        <v>392</v>
      </c>
    </row>
    <row r="15" spans="1:16" ht="50" customHeight="1" x14ac:dyDescent="0.2">
      <c r="A15" s="3" t="s">
        <v>379</v>
      </c>
      <c r="B15" s="3">
        <v>0</v>
      </c>
      <c r="C15" s="3">
        <v>1</v>
      </c>
      <c r="D15" s="3">
        <v>1</v>
      </c>
      <c r="E15" s="3">
        <v>0</v>
      </c>
      <c r="F15" s="3">
        <v>1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  <c r="N15" s="3">
        <v>0</v>
      </c>
      <c r="O15" s="3">
        <v>0</v>
      </c>
      <c r="P15" s="3" t="s">
        <v>393</v>
      </c>
    </row>
    <row r="16" spans="1:16" ht="50" customHeight="1" x14ac:dyDescent="0.2">
      <c r="A16" s="3" t="s">
        <v>380</v>
      </c>
      <c r="B16" s="3">
        <v>0</v>
      </c>
      <c r="C16" s="3">
        <v>1</v>
      </c>
      <c r="D16" s="3">
        <v>-2</v>
      </c>
      <c r="E16" s="3">
        <v>0</v>
      </c>
      <c r="F16" s="3">
        <v>0</v>
      </c>
      <c r="G16" s="3">
        <v>0</v>
      </c>
      <c r="H16" s="3">
        <v>0</v>
      </c>
      <c r="I16" s="3">
        <v>1</v>
      </c>
      <c r="J16" s="3">
        <v>0</v>
      </c>
      <c r="K16" s="3">
        <v>1</v>
      </c>
      <c r="L16" s="3">
        <v>0</v>
      </c>
      <c r="M16" s="3">
        <v>0</v>
      </c>
      <c r="N16" s="3"/>
      <c r="O16" s="3">
        <v>1</v>
      </c>
      <c r="P16" s="3" t="s">
        <v>394</v>
      </c>
    </row>
    <row r="17" spans="1:16" ht="50" customHeight="1" x14ac:dyDescent="0.2">
      <c r="A17" s="3" t="s">
        <v>267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-2</v>
      </c>
      <c r="L17" s="3">
        <v>0</v>
      </c>
      <c r="M17" s="3">
        <v>0</v>
      </c>
      <c r="N17" s="3">
        <v>1</v>
      </c>
      <c r="O17" s="3"/>
      <c r="P17" s="3" t="s">
        <v>395</v>
      </c>
    </row>
  </sheetData>
  <mergeCells count="1">
    <mergeCell ref="A1:P1"/>
  </mergeCells>
  <conditionalFormatting sqref="B4:O17">
    <cfRule type="colorScale" priority="1">
      <colorScale>
        <cfvo type="num" val="-2"/>
        <cfvo type="num" val="0"/>
        <cfvo type="num" val="2"/>
        <color rgb="FFF4CCCC"/>
        <color rgb="FFFFFFFF"/>
        <color rgb="FFD9EAD3"/>
      </colorScale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5"/>
  <sheetViews>
    <sheetView showGridLines="0"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34" customWidth="1"/>
    <col min="2" max="2" width="38" customWidth="1"/>
    <col min="3" max="3" width="34" customWidth="1"/>
    <col min="4" max="5" width="18" customWidth="1"/>
    <col min="6" max="6" width="34" customWidth="1"/>
    <col min="7" max="7" width="42" customWidth="1"/>
    <col min="8" max="8" width="24" customWidth="1"/>
    <col min="9" max="9" width="32" customWidth="1"/>
    <col min="10" max="11" width="34" customWidth="1"/>
    <col min="12" max="12" width="14" customWidth="1"/>
    <col min="13" max="13" width="42" customWidth="1"/>
  </cols>
  <sheetData>
    <row r="1" spans="1:13" ht="28" customHeight="1" x14ac:dyDescent="0.2">
      <c r="A1" s="9" t="s">
        <v>396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x14ac:dyDescent="0.2">
      <c r="A2" s="1" t="s">
        <v>397</v>
      </c>
    </row>
    <row r="3" spans="1:13" ht="16" x14ac:dyDescent="0.2">
      <c r="A3" s="2" t="s">
        <v>3</v>
      </c>
      <c r="B3" s="2" t="s">
        <v>398</v>
      </c>
      <c r="C3" s="2" t="s">
        <v>399</v>
      </c>
      <c r="D3" s="2" t="s">
        <v>400</v>
      </c>
      <c r="E3" s="2" t="s">
        <v>401</v>
      </c>
      <c r="F3" s="2" t="s">
        <v>402</v>
      </c>
      <c r="G3" s="2" t="s">
        <v>403</v>
      </c>
      <c r="H3" s="2" t="s">
        <v>404</v>
      </c>
      <c r="I3" s="2" t="s">
        <v>405</v>
      </c>
      <c r="J3" s="2" t="s">
        <v>406</v>
      </c>
      <c r="K3" s="2" t="s">
        <v>407</v>
      </c>
      <c r="L3" s="2" t="s">
        <v>36</v>
      </c>
      <c r="M3" s="2" t="s">
        <v>408</v>
      </c>
    </row>
    <row r="4" spans="1:13" ht="70" customHeight="1" x14ac:dyDescent="0.2">
      <c r="A4" s="3" t="s">
        <v>155</v>
      </c>
      <c r="B4" s="3" t="s">
        <v>409</v>
      </c>
      <c r="C4" s="3" t="s">
        <v>410</v>
      </c>
      <c r="D4" s="3" t="s">
        <v>411</v>
      </c>
      <c r="E4" s="3" t="s">
        <v>412</v>
      </c>
      <c r="F4" s="3" t="s">
        <v>413</v>
      </c>
      <c r="G4" s="3" t="s">
        <v>414</v>
      </c>
      <c r="H4" s="3" t="s">
        <v>159</v>
      </c>
      <c r="I4" s="3" t="s">
        <v>159</v>
      </c>
      <c r="J4" s="3" t="s">
        <v>415</v>
      </c>
      <c r="K4" s="3" t="s">
        <v>416</v>
      </c>
      <c r="L4" s="3" t="s">
        <v>417</v>
      </c>
      <c r="M4" s="3" t="s">
        <v>418</v>
      </c>
    </row>
    <row r="5" spans="1:13" ht="70" customHeight="1" x14ac:dyDescent="0.2">
      <c r="A5" s="3" t="s">
        <v>155</v>
      </c>
      <c r="B5" s="3" t="s">
        <v>409</v>
      </c>
      <c r="C5" s="3" t="s">
        <v>419</v>
      </c>
      <c r="D5" s="3" t="s">
        <v>420</v>
      </c>
      <c r="E5" s="3" t="s">
        <v>412</v>
      </c>
      <c r="F5" s="3" t="s">
        <v>421</v>
      </c>
      <c r="G5" s="3" t="s">
        <v>422</v>
      </c>
      <c r="H5" s="3" t="s">
        <v>423</v>
      </c>
      <c r="I5" s="3" t="s">
        <v>159</v>
      </c>
      <c r="J5" s="3" t="s">
        <v>424</v>
      </c>
      <c r="K5" s="3" t="s">
        <v>425</v>
      </c>
      <c r="L5" s="3" t="s">
        <v>417</v>
      </c>
      <c r="M5" s="3" t="s">
        <v>426</v>
      </c>
    </row>
    <row r="6" spans="1:13" ht="70" customHeight="1" x14ac:dyDescent="0.2">
      <c r="A6" s="3" t="s">
        <v>155</v>
      </c>
      <c r="B6" s="3" t="s">
        <v>409</v>
      </c>
      <c r="C6" s="3" t="s">
        <v>427</v>
      </c>
      <c r="D6" s="3" t="s">
        <v>420</v>
      </c>
      <c r="E6" s="3" t="s">
        <v>428</v>
      </c>
      <c r="F6" s="3" t="s">
        <v>429</v>
      </c>
      <c r="G6" s="3" t="s">
        <v>430</v>
      </c>
      <c r="H6" s="3" t="s">
        <v>431</v>
      </c>
      <c r="I6" s="3" t="s">
        <v>432</v>
      </c>
      <c r="J6" s="3" t="s">
        <v>433</v>
      </c>
      <c r="K6" s="3" t="s">
        <v>434</v>
      </c>
      <c r="L6" s="3" t="s">
        <v>417</v>
      </c>
      <c r="M6" s="3" t="s">
        <v>435</v>
      </c>
    </row>
    <row r="7" spans="1:13" ht="70" customHeight="1" x14ac:dyDescent="0.2">
      <c r="A7" s="3" t="s">
        <v>155</v>
      </c>
      <c r="B7" s="3" t="s">
        <v>409</v>
      </c>
      <c r="C7" s="3" t="s">
        <v>436</v>
      </c>
      <c r="D7" s="3" t="s">
        <v>420</v>
      </c>
      <c r="E7" s="3" t="s">
        <v>437</v>
      </c>
      <c r="F7" s="3" t="s">
        <v>438</v>
      </c>
      <c r="G7" s="3" t="s">
        <v>439</v>
      </c>
      <c r="H7" s="3" t="s">
        <v>440</v>
      </c>
      <c r="I7" s="3" t="s">
        <v>441</v>
      </c>
      <c r="J7" s="3" t="s">
        <v>442</v>
      </c>
      <c r="K7" s="3" t="s">
        <v>434</v>
      </c>
      <c r="L7" s="3" t="s">
        <v>417</v>
      </c>
      <c r="M7" s="3" t="s">
        <v>443</v>
      </c>
    </row>
    <row r="8" spans="1:13" ht="70" customHeight="1" x14ac:dyDescent="0.2">
      <c r="A8" s="3" t="s">
        <v>155</v>
      </c>
      <c r="B8" s="3" t="s">
        <v>409</v>
      </c>
      <c r="C8" s="3" t="s">
        <v>444</v>
      </c>
      <c r="D8" s="3" t="s">
        <v>420</v>
      </c>
      <c r="E8" s="3" t="s">
        <v>445</v>
      </c>
      <c r="F8" s="3" t="s">
        <v>446</v>
      </c>
      <c r="G8" s="3" t="s">
        <v>447</v>
      </c>
      <c r="H8" s="3" t="s">
        <v>448</v>
      </c>
      <c r="I8" s="3" t="s">
        <v>449</v>
      </c>
      <c r="J8" s="3" t="s">
        <v>450</v>
      </c>
      <c r="K8" s="3" t="s">
        <v>434</v>
      </c>
      <c r="L8" s="3" t="s">
        <v>417</v>
      </c>
      <c r="M8" s="3" t="s">
        <v>451</v>
      </c>
    </row>
    <row r="9" spans="1:13" ht="70" customHeight="1" x14ac:dyDescent="0.2">
      <c r="A9" s="3" t="s">
        <v>155</v>
      </c>
      <c r="B9" s="3" t="s">
        <v>409</v>
      </c>
      <c r="C9" s="3" t="s">
        <v>452</v>
      </c>
      <c r="D9" s="3" t="s">
        <v>453</v>
      </c>
      <c r="E9" s="3" t="s">
        <v>454</v>
      </c>
      <c r="F9" s="3" t="s">
        <v>455</v>
      </c>
      <c r="G9" s="3" t="s">
        <v>456</v>
      </c>
      <c r="H9" s="3" t="s">
        <v>159</v>
      </c>
      <c r="I9" s="3" t="s">
        <v>159</v>
      </c>
      <c r="J9" s="3" t="s">
        <v>457</v>
      </c>
      <c r="K9" s="3" t="s">
        <v>434</v>
      </c>
      <c r="L9" s="3" t="s">
        <v>417</v>
      </c>
      <c r="M9" s="3" t="s">
        <v>458</v>
      </c>
    </row>
    <row r="10" spans="1:13" ht="70" customHeight="1" x14ac:dyDescent="0.2">
      <c r="A10" s="3" t="s">
        <v>100</v>
      </c>
      <c r="B10" s="3" t="s">
        <v>459</v>
      </c>
      <c r="C10" s="3" t="s">
        <v>460</v>
      </c>
      <c r="D10" s="3" t="s">
        <v>420</v>
      </c>
      <c r="E10" s="3" t="s">
        <v>428</v>
      </c>
      <c r="F10" s="3" t="s">
        <v>461</v>
      </c>
      <c r="G10" s="3" t="s">
        <v>462</v>
      </c>
      <c r="H10" s="3" t="s">
        <v>463</v>
      </c>
      <c r="I10" s="3" t="s">
        <v>464</v>
      </c>
      <c r="J10" s="3" t="s">
        <v>465</v>
      </c>
      <c r="K10" s="3" t="s">
        <v>466</v>
      </c>
      <c r="L10" s="3" t="s">
        <v>69</v>
      </c>
      <c r="M10" s="3" t="s">
        <v>467</v>
      </c>
    </row>
    <row r="11" spans="1:13" ht="70" customHeight="1" x14ac:dyDescent="0.2">
      <c r="A11" s="3" t="s">
        <v>100</v>
      </c>
      <c r="B11" s="3" t="s">
        <v>459</v>
      </c>
      <c r="C11" s="3" t="s">
        <v>468</v>
      </c>
      <c r="D11" s="3" t="s">
        <v>420</v>
      </c>
      <c r="E11" s="3" t="s">
        <v>428</v>
      </c>
      <c r="F11" s="3" t="s">
        <v>469</v>
      </c>
      <c r="G11" s="3" t="s">
        <v>470</v>
      </c>
      <c r="H11" s="3" t="s">
        <v>159</v>
      </c>
      <c r="I11" s="3" t="s">
        <v>471</v>
      </c>
      <c r="J11" s="3" t="s">
        <v>472</v>
      </c>
      <c r="K11" s="3" t="s">
        <v>473</v>
      </c>
      <c r="L11" s="3" t="s">
        <v>417</v>
      </c>
      <c r="M11" s="3" t="s">
        <v>474</v>
      </c>
    </row>
    <row r="12" spans="1:13" ht="70" customHeight="1" x14ac:dyDescent="0.2">
      <c r="A12" s="3" t="s">
        <v>100</v>
      </c>
      <c r="B12" s="3" t="s">
        <v>459</v>
      </c>
      <c r="C12" s="3" t="s">
        <v>475</v>
      </c>
      <c r="D12" s="3" t="s">
        <v>420</v>
      </c>
      <c r="E12" s="3" t="s">
        <v>476</v>
      </c>
      <c r="F12" s="3" t="s">
        <v>477</v>
      </c>
      <c r="G12" s="3" t="s">
        <v>478</v>
      </c>
      <c r="H12" s="3" t="s">
        <v>159</v>
      </c>
      <c r="I12" s="3" t="s">
        <v>159</v>
      </c>
      <c r="J12" s="3" t="s">
        <v>479</v>
      </c>
      <c r="K12" s="3" t="s">
        <v>480</v>
      </c>
      <c r="L12" s="3" t="s">
        <v>53</v>
      </c>
      <c r="M12" s="3" t="s">
        <v>481</v>
      </c>
    </row>
    <row r="13" spans="1:13" ht="70" customHeight="1" x14ac:dyDescent="0.2">
      <c r="A13" s="3" t="s">
        <v>56</v>
      </c>
      <c r="B13" s="3" t="s">
        <v>482</v>
      </c>
      <c r="C13" s="3" t="s">
        <v>483</v>
      </c>
      <c r="D13" s="3" t="s">
        <v>420</v>
      </c>
      <c r="E13" s="3" t="s">
        <v>437</v>
      </c>
      <c r="F13" s="3" t="s">
        <v>484</v>
      </c>
      <c r="G13" s="3" t="s">
        <v>485</v>
      </c>
      <c r="H13" s="3" t="s">
        <v>486</v>
      </c>
      <c r="I13" s="3" t="s">
        <v>487</v>
      </c>
      <c r="J13" s="3" t="s">
        <v>488</v>
      </c>
      <c r="K13" s="3" t="s">
        <v>489</v>
      </c>
      <c r="L13" s="3" t="s">
        <v>69</v>
      </c>
      <c r="M13" s="3" t="s">
        <v>490</v>
      </c>
    </row>
    <row r="14" spans="1:13" ht="70" customHeight="1" x14ac:dyDescent="0.2">
      <c r="A14" s="3" t="s">
        <v>56</v>
      </c>
      <c r="B14" s="3" t="s">
        <v>482</v>
      </c>
      <c r="C14" s="3" t="s">
        <v>491</v>
      </c>
      <c r="D14" s="3" t="s">
        <v>420</v>
      </c>
      <c r="E14" s="3" t="s">
        <v>428</v>
      </c>
      <c r="F14" s="3" t="s">
        <v>492</v>
      </c>
      <c r="G14" s="3" t="s">
        <v>493</v>
      </c>
      <c r="H14" s="3" t="s">
        <v>192</v>
      </c>
      <c r="I14" s="3" t="s">
        <v>494</v>
      </c>
      <c r="J14" s="3" t="s">
        <v>495</v>
      </c>
      <c r="K14" s="3" t="s">
        <v>496</v>
      </c>
      <c r="L14" s="3" t="s">
        <v>69</v>
      </c>
      <c r="M14" s="3" t="s">
        <v>497</v>
      </c>
    </row>
    <row r="15" spans="1:13" ht="70" customHeight="1" x14ac:dyDescent="0.2">
      <c r="A15" s="3" t="s">
        <v>56</v>
      </c>
      <c r="B15" s="3" t="s">
        <v>482</v>
      </c>
      <c r="C15" s="3" t="s">
        <v>498</v>
      </c>
      <c r="D15" s="3" t="s">
        <v>420</v>
      </c>
      <c r="E15" s="3" t="s">
        <v>499</v>
      </c>
      <c r="F15" s="3" t="s">
        <v>500</v>
      </c>
      <c r="G15" s="3" t="s">
        <v>501</v>
      </c>
      <c r="H15" s="3" t="s">
        <v>159</v>
      </c>
      <c r="I15" s="3" t="s">
        <v>159</v>
      </c>
      <c r="J15" s="3" t="s">
        <v>502</v>
      </c>
      <c r="K15" s="3" t="s">
        <v>503</v>
      </c>
      <c r="L15" s="3" t="s">
        <v>69</v>
      </c>
      <c r="M15" s="3" t="s">
        <v>504</v>
      </c>
    </row>
    <row r="16" spans="1:13" ht="70" customHeight="1" x14ac:dyDescent="0.2">
      <c r="A16" s="3" t="s">
        <v>143</v>
      </c>
      <c r="B16" s="3" t="s">
        <v>505</v>
      </c>
      <c r="C16" s="3" t="s">
        <v>506</v>
      </c>
      <c r="D16" s="3" t="s">
        <v>420</v>
      </c>
      <c r="E16" s="3" t="s">
        <v>507</v>
      </c>
      <c r="F16" s="3" t="s">
        <v>508</v>
      </c>
      <c r="G16" s="3" t="s">
        <v>509</v>
      </c>
      <c r="H16" s="3" t="s">
        <v>510</v>
      </c>
      <c r="I16" s="3" t="s">
        <v>511</v>
      </c>
      <c r="J16" s="3" t="s">
        <v>512</v>
      </c>
      <c r="K16" s="3" t="s">
        <v>513</v>
      </c>
      <c r="L16" s="3" t="s">
        <v>69</v>
      </c>
      <c r="M16" s="3" t="s">
        <v>514</v>
      </c>
    </row>
    <row r="17" spans="1:13" ht="70" customHeight="1" x14ac:dyDescent="0.2">
      <c r="A17" s="3" t="s">
        <v>143</v>
      </c>
      <c r="B17" s="3" t="s">
        <v>505</v>
      </c>
      <c r="C17" s="3" t="s">
        <v>515</v>
      </c>
      <c r="D17" s="3" t="s">
        <v>420</v>
      </c>
      <c r="E17" s="3" t="s">
        <v>516</v>
      </c>
      <c r="F17" s="3" t="s">
        <v>517</v>
      </c>
      <c r="G17" s="3" t="s">
        <v>518</v>
      </c>
      <c r="H17" s="3" t="s">
        <v>192</v>
      </c>
      <c r="I17" s="3" t="s">
        <v>519</v>
      </c>
      <c r="J17" s="3" t="s">
        <v>520</v>
      </c>
      <c r="K17" s="3" t="s">
        <v>521</v>
      </c>
      <c r="L17" s="3" t="s">
        <v>69</v>
      </c>
      <c r="M17" s="3" t="s">
        <v>522</v>
      </c>
    </row>
    <row r="18" spans="1:13" ht="70" customHeight="1" x14ac:dyDescent="0.2">
      <c r="A18" s="3" t="s">
        <v>199</v>
      </c>
      <c r="B18" s="3" t="s">
        <v>523</v>
      </c>
      <c r="C18" s="3" t="s">
        <v>524</v>
      </c>
      <c r="D18" s="3" t="s">
        <v>420</v>
      </c>
      <c r="E18" s="3" t="s">
        <v>428</v>
      </c>
      <c r="F18" s="3" t="s">
        <v>525</v>
      </c>
      <c r="G18" s="3" t="s">
        <v>526</v>
      </c>
      <c r="H18" s="3" t="s">
        <v>159</v>
      </c>
      <c r="I18" s="3" t="s">
        <v>159</v>
      </c>
      <c r="J18" s="3" t="s">
        <v>527</v>
      </c>
      <c r="K18" s="3" t="s">
        <v>528</v>
      </c>
      <c r="L18" s="3" t="s">
        <v>53</v>
      </c>
      <c r="M18" s="3" t="s">
        <v>529</v>
      </c>
    </row>
    <row r="19" spans="1:13" ht="70" customHeight="1" x14ac:dyDescent="0.2">
      <c r="A19" s="3" t="s">
        <v>199</v>
      </c>
      <c r="B19" s="3" t="s">
        <v>523</v>
      </c>
      <c r="C19" s="3" t="s">
        <v>530</v>
      </c>
      <c r="D19" s="3" t="s">
        <v>420</v>
      </c>
      <c r="E19" s="3" t="s">
        <v>428</v>
      </c>
      <c r="F19" s="3" t="s">
        <v>531</v>
      </c>
      <c r="G19" s="3" t="s">
        <v>532</v>
      </c>
      <c r="H19" s="3" t="s">
        <v>159</v>
      </c>
      <c r="I19" s="3" t="s">
        <v>159</v>
      </c>
      <c r="J19" s="3" t="s">
        <v>533</v>
      </c>
      <c r="K19" s="3" t="s">
        <v>534</v>
      </c>
      <c r="L19" s="3" t="s">
        <v>53</v>
      </c>
      <c r="M19" s="3" t="s">
        <v>535</v>
      </c>
    </row>
    <row r="20" spans="1:13" ht="70" customHeight="1" x14ac:dyDescent="0.2">
      <c r="A20" s="3" t="s">
        <v>39</v>
      </c>
      <c r="B20" s="3" t="s">
        <v>536</v>
      </c>
      <c r="C20" s="3" t="s">
        <v>537</v>
      </c>
      <c r="D20" s="3" t="s">
        <v>538</v>
      </c>
      <c r="E20" s="3" t="s">
        <v>539</v>
      </c>
      <c r="F20" s="3" t="s">
        <v>540</v>
      </c>
      <c r="G20" s="3" t="s">
        <v>541</v>
      </c>
      <c r="H20" s="3" t="s">
        <v>542</v>
      </c>
      <c r="I20" s="3" t="s">
        <v>543</v>
      </c>
      <c r="J20" s="3" t="s">
        <v>544</v>
      </c>
      <c r="K20" s="3" t="s">
        <v>545</v>
      </c>
      <c r="L20" s="3" t="s">
        <v>53</v>
      </c>
      <c r="M20" s="3" t="s">
        <v>546</v>
      </c>
    </row>
    <row r="21" spans="1:13" ht="70" customHeight="1" x14ac:dyDescent="0.2">
      <c r="A21" s="3" t="s">
        <v>39</v>
      </c>
      <c r="B21" s="3" t="s">
        <v>536</v>
      </c>
      <c r="C21" s="3" t="s">
        <v>547</v>
      </c>
      <c r="D21" s="3" t="s">
        <v>420</v>
      </c>
      <c r="E21" s="3" t="s">
        <v>548</v>
      </c>
      <c r="F21" s="3" t="s">
        <v>549</v>
      </c>
      <c r="G21" s="3" t="s">
        <v>550</v>
      </c>
      <c r="H21" s="3" t="s">
        <v>551</v>
      </c>
      <c r="I21" s="3" t="s">
        <v>552</v>
      </c>
      <c r="J21" s="3" t="s">
        <v>553</v>
      </c>
      <c r="K21" s="3" t="s">
        <v>554</v>
      </c>
      <c r="L21" s="3" t="s">
        <v>53</v>
      </c>
      <c r="M21" s="3" t="s">
        <v>555</v>
      </c>
    </row>
    <row r="22" spans="1:13" ht="70" customHeight="1" x14ac:dyDescent="0.2">
      <c r="A22" s="3" t="s">
        <v>556</v>
      </c>
      <c r="B22" s="3" t="s">
        <v>536</v>
      </c>
      <c r="C22" s="3" t="s">
        <v>537</v>
      </c>
      <c r="D22" s="3" t="s">
        <v>538</v>
      </c>
      <c r="E22" s="3" t="s">
        <v>539</v>
      </c>
      <c r="F22" s="3" t="s">
        <v>557</v>
      </c>
      <c r="G22" s="3" t="s">
        <v>558</v>
      </c>
      <c r="H22" s="3" t="s">
        <v>559</v>
      </c>
      <c r="I22" s="3" t="s">
        <v>560</v>
      </c>
      <c r="J22" s="3" t="s">
        <v>561</v>
      </c>
      <c r="K22" s="3" t="s">
        <v>562</v>
      </c>
      <c r="L22" s="3" t="s">
        <v>53</v>
      </c>
      <c r="M22" s="3" t="s">
        <v>563</v>
      </c>
    </row>
    <row r="23" spans="1:13" ht="70" customHeight="1" x14ac:dyDescent="0.2">
      <c r="A23" s="3" t="s">
        <v>86</v>
      </c>
      <c r="B23" s="3" t="s">
        <v>536</v>
      </c>
      <c r="C23" s="3" t="s">
        <v>537</v>
      </c>
      <c r="D23" s="3" t="s">
        <v>538</v>
      </c>
      <c r="E23" s="3" t="s">
        <v>539</v>
      </c>
      <c r="F23" s="3" t="s">
        <v>564</v>
      </c>
      <c r="G23" s="3" t="s">
        <v>565</v>
      </c>
      <c r="H23" s="3" t="s">
        <v>566</v>
      </c>
      <c r="I23" s="3" t="s">
        <v>567</v>
      </c>
      <c r="J23" s="3" t="s">
        <v>568</v>
      </c>
      <c r="K23" s="3" t="s">
        <v>569</v>
      </c>
      <c r="L23" s="3" t="s">
        <v>53</v>
      </c>
      <c r="M23" s="3" t="s">
        <v>570</v>
      </c>
    </row>
    <row r="24" spans="1:13" ht="70" customHeight="1" x14ac:dyDescent="0.2">
      <c r="A24" s="3" t="s">
        <v>115</v>
      </c>
      <c r="B24" s="3" t="s">
        <v>536</v>
      </c>
      <c r="C24" s="3" t="s">
        <v>537</v>
      </c>
      <c r="D24" s="3" t="s">
        <v>538</v>
      </c>
      <c r="E24" s="3" t="s">
        <v>539</v>
      </c>
      <c r="F24" s="3" t="s">
        <v>571</v>
      </c>
      <c r="G24" s="3" t="s">
        <v>572</v>
      </c>
      <c r="H24" s="3" t="s">
        <v>573</v>
      </c>
      <c r="I24" s="3" t="s">
        <v>574</v>
      </c>
      <c r="J24" s="3" t="s">
        <v>575</v>
      </c>
      <c r="K24" s="3" t="s">
        <v>576</v>
      </c>
      <c r="L24" s="3" t="s">
        <v>53</v>
      </c>
      <c r="M24" s="3" t="s">
        <v>577</v>
      </c>
    </row>
    <row r="25" spans="1:13" ht="70" customHeight="1" x14ac:dyDescent="0.2">
      <c r="A25" s="3" t="s">
        <v>130</v>
      </c>
      <c r="B25" s="3" t="s">
        <v>536</v>
      </c>
      <c r="C25" s="3" t="s">
        <v>537</v>
      </c>
      <c r="D25" s="3" t="s">
        <v>538</v>
      </c>
      <c r="E25" s="3" t="s">
        <v>539</v>
      </c>
      <c r="F25" s="3" t="s">
        <v>578</v>
      </c>
      <c r="G25" s="3" t="s">
        <v>579</v>
      </c>
      <c r="H25" s="3" t="s">
        <v>580</v>
      </c>
      <c r="I25" s="3" t="s">
        <v>581</v>
      </c>
      <c r="J25" s="3" t="s">
        <v>582</v>
      </c>
      <c r="K25" s="3" t="s">
        <v>583</v>
      </c>
      <c r="L25" s="3" t="s">
        <v>53</v>
      </c>
      <c r="M25" s="3" t="s">
        <v>584</v>
      </c>
    </row>
    <row r="26" spans="1:13" ht="70" customHeight="1" x14ac:dyDescent="0.2">
      <c r="A26" s="3" t="s">
        <v>184</v>
      </c>
      <c r="B26" s="3" t="s">
        <v>536</v>
      </c>
      <c r="C26" s="3" t="s">
        <v>537</v>
      </c>
      <c r="D26" s="3" t="s">
        <v>538</v>
      </c>
      <c r="E26" s="3" t="s">
        <v>539</v>
      </c>
      <c r="F26" s="3" t="s">
        <v>585</v>
      </c>
      <c r="G26" s="3" t="s">
        <v>586</v>
      </c>
      <c r="H26" s="3" t="s">
        <v>159</v>
      </c>
      <c r="I26" s="3" t="s">
        <v>159</v>
      </c>
      <c r="J26" s="3" t="s">
        <v>587</v>
      </c>
      <c r="K26" s="3" t="s">
        <v>588</v>
      </c>
      <c r="L26" s="3" t="s">
        <v>196</v>
      </c>
      <c r="M26" s="3" t="s">
        <v>589</v>
      </c>
    </row>
    <row r="27" spans="1:13" ht="70" customHeight="1" x14ac:dyDescent="0.2">
      <c r="A27" s="3" t="s">
        <v>267</v>
      </c>
      <c r="B27" s="3" t="s">
        <v>536</v>
      </c>
      <c r="C27" s="3" t="s">
        <v>537</v>
      </c>
      <c r="D27" s="3" t="s">
        <v>538</v>
      </c>
      <c r="E27" s="3" t="s">
        <v>539</v>
      </c>
      <c r="F27" s="3" t="s">
        <v>590</v>
      </c>
      <c r="G27" s="3" t="s">
        <v>591</v>
      </c>
      <c r="H27" s="3" t="s">
        <v>159</v>
      </c>
      <c r="I27" s="3" t="s">
        <v>159</v>
      </c>
      <c r="J27" s="3" t="s">
        <v>592</v>
      </c>
      <c r="K27" s="3" t="s">
        <v>593</v>
      </c>
      <c r="L27" s="3" t="s">
        <v>53</v>
      </c>
      <c r="M27" s="3" t="s">
        <v>594</v>
      </c>
    </row>
    <row r="28" spans="1:13" ht="70" customHeight="1" x14ac:dyDescent="0.2">
      <c r="A28" s="3" t="s">
        <v>256</v>
      </c>
      <c r="B28" s="3" t="s">
        <v>536</v>
      </c>
      <c r="C28" s="3" t="s">
        <v>537</v>
      </c>
      <c r="D28" s="3" t="s">
        <v>538</v>
      </c>
      <c r="E28" s="3" t="s">
        <v>539</v>
      </c>
      <c r="F28" s="3" t="s">
        <v>595</v>
      </c>
      <c r="G28" s="3" t="s">
        <v>596</v>
      </c>
      <c r="H28" s="3" t="s">
        <v>159</v>
      </c>
      <c r="I28" s="3" t="s">
        <v>159</v>
      </c>
      <c r="J28" s="3" t="s">
        <v>597</v>
      </c>
      <c r="K28" s="3" t="s">
        <v>583</v>
      </c>
      <c r="L28" s="3" t="s">
        <v>196</v>
      </c>
      <c r="M28" s="3" t="s">
        <v>598</v>
      </c>
    </row>
    <row r="29" spans="1:13" ht="70" customHeight="1" x14ac:dyDescent="0.2">
      <c r="A29" s="3" t="s">
        <v>172</v>
      </c>
      <c r="B29" s="3" t="s">
        <v>536</v>
      </c>
      <c r="C29" s="3" t="s">
        <v>537</v>
      </c>
      <c r="D29" s="3" t="s">
        <v>538</v>
      </c>
      <c r="E29" s="3" t="s">
        <v>539</v>
      </c>
      <c r="F29" s="3" t="s">
        <v>599</v>
      </c>
      <c r="G29" s="3" t="s">
        <v>600</v>
      </c>
      <c r="H29" s="3" t="s">
        <v>601</v>
      </c>
      <c r="I29" s="3" t="s">
        <v>602</v>
      </c>
      <c r="J29" s="3" t="s">
        <v>603</v>
      </c>
      <c r="K29" s="3" t="s">
        <v>562</v>
      </c>
      <c r="L29" s="3" t="s">
        <v>53</v>
      </c>
      <c r="M29" s="3" t="s">
        <v>604</v>
      </c>
    </row>
    <row r="30" spans="1:13" ht="70" customHeight="1" x14ac:dyDescent="0.2">
      <c r="A30" s="3" t="s">
        <v>236</v>
      </c>
      <c r="B30" s="3" t="s">
        <v>536</v>
      </c>
      <c r="C30" s="3" t="s">
        <v>605</v>
      </c>
      <c r="D30" s="3" t="s">
        <v>538</v>
      </c>
      <c r="E30" s="3" t="s">
        <v>539</v>
      </c>
      <c r="F30" s="3" t="s">
        <v>606</v>
      </c>
      <c r="G30" s="3" t="s">
        <v>607</v>
      </c>
      <c r="H30" s="3" t="s">
        <v>608</v>
      </c>
      <c r="I30" s="3" t="s">
        <v>609</v>
      </c>
      <c r="J30" s="3" t="s">
        <v>610</v>
      </c>
      <c r="K30" s="3" t="s">
        <v>562</v>
      </c>
      <c r="L30" s="3" t="s">
        <v>53</v>
      </c>
      <c r="M30" s="3" t="s">
        <v>611</v>
      </c>
    </row>
    <row r="31" spans="1:13" ht="70" customHeight="1" x14ac:dyDescent="0.2">
      <c r="A31" s="3" t="s">
        <v>247</v>
      </c>
      <c r="B31" s="3" t="s">
        <v>536</v>
      </c>
      <c r="C31" s="3" t="s">
        <v>537</v>
      </c>
      <c r="D31" s="3" t="s">
        <v>538</v>
      </c>
      <c r="E31" s="3" t="s">
        <v>539</v>
      </c>
      <c r="F31" s="3" t="s">
        <v>612</v>
      </c>
      <c r="G31" s="3" t="s">
        <v>159</v>
      </c>
      <c r="H31" s="3" t="s">
        <v>159</v>
      </c>
      <c r="I31" s="3" t="s">
        <v>609</v>
      </c>
      <c r="J31" s="3" t="s">
        <v>613</v>
      </c>
      <c r="K31" s="3" t="s">
        <v>562</v>
      </c>
      <c r="L31" s="3" t="s">
        <v>196</v>
      </c>
      <c r="M31" s="3" t="s">
        <v>614</v>
      </c>
    </row>
    <row r="32" spans="1:13" ht="70" customHeight="1" x14ac:dyDescent="0.2">
      <c r="A32" s="3" t="s">
        <v>213</v>
      </c>
      <c r="B32" s="3" t="s">
        <v>536</v>
      </c>
      <c r="C32" s="3" t="s">
        <v>615</v>
      </c>
      <c r="D32" s="3" t="s">
        <v>616</v>
      </c>
      <c r="E32" s="3" t="s">
        <v>617</v>
      </c>
      <c r="F32" s="3" t="s">
        <v>618</v>
      </c>
      <c r="G32" s="3" t="s">
        <v>619</v>
      </c>
      <c r="H32" s="3" t="s">
        <v>620</v>
      </c>
      <c r="I32" s="3" t="s">
        <v>609</v>
      </c>
      <c r="J32" s="3" t="s">
        <v>621</v>
      </c>
      <c r="K32" s="3" t="s">
        <v>562</v>
      </c>
      <c r="L32" s="3" t="s">
        <v>53</v>
      </c>
      <c r="M32" s="3" t="s">
        <v>622</v>
      </c>
    </row>
    <row r="33" spans="1:13" ht="70" customHeight="1" x14ac:dyDescent="0.2">
      <c r="A33" s="3" t="s">
        <v>224</v>
      </c>
      <c r="B33" s="3" t="s">
        <v>536</v>
      </c>
      <c r="C33" s="3" t="s">
        <v>537</v>
      </c>
      <c r="D33" s="3" t="s">
        <v>538</v>
      </c>
      <c r="E33" s="3" t="s">
        <v>539</v>
      </c>
      <c r="F33" s="3" t="s">
        <v>623</v>
      </c>
      <c r="G33" s="3" t="s">
        <v>159</v>
      </c>
      <c r="H33" s="3" t="s">
        <v>159</v>
      </c>
      <c r="I33" s="3" t="s">
        <v>609</v>
      </c>
      <c r="J33" s="3" t="s">
        <v>624</v>
      </c>
      <c r="K33" s="3" t="s">
        <v>562</v>
      </c>
      <c r="L33" s="3" t="s">
        <v>196</v>
      </c>
      <c r="M33" s="3" t="s">
        <v>625</v>
      </c>
    </row>
    <row r="34" spans="1:13" ht="70" customHeight="1" x14ac:dyDescent="0.2">
      <c r="A34" s="3" t="s">
        <v>277</v>
      </c>
      <c r="B34" s="3" t="s">
        <v>536</v>
      </c>
      <c r="C34" s="3" t="s">
        <v>537</v>
      </c>
      <c r="D34" s="3" t="s">
        <v>538</v>
      </c>
      <c r="E34" s="3" t="s">
        <v>539</v>
      </c>
      <c r="F34" s="3" t="s">
        <v>626</v>
      </c>
      <c r="G34" s="3" t="s">
        <v>627</v>
      </c>
      <c r="H34" s="3" t="s">
        <v>159</v>
      </c>
      <c r="I34" s="3" t="s">
        <v>159</v>
      </c>
      <c r="J34" s="3" t="s">
        <v>628</v>
      </c>
      <c r="K34" s="3" t="s">
        <v>629</v>
      </c>
      <c r="L34" s="3" t="s">
        <v>53</v>
      </c>
      <c r="M34" s="3" t="s">
        <v>630</v>
      </c>
    </row>
    <row r="35" spans="1:13" ht="70" customHeight="1" x14ac:dyDescent="0.2">
      <c r="A35" s="3" t="s">
        <v>631</v>
      </c>
      <c r="B35" s="3" t="s">
        <v>536</v>
      </c>
      <c r="C35" s="3" t="s">
        <v>632</v>
      </c>
      <c r="D35" s="3" t="s">
        <v>633</v>
      </c>
      <c r="E35" s="3" t="s">
        <v>539</v>
      </c>
      <c r="F35" s="3" t="s">
        <v>634</v>
      </c>
      <c r="G35" s="3" t="s">
        <v>635</v>
      </c>
      <c r="H35" s="3" t="s">
        <v>159</v>
      </c>
      <c r="I35" s="3" t="s">
        <v>636</v>
      </c>
      <c r="J35" s="3" t="s">
        <v>637</v>
      </c>
      <c r="K35" s="3" t="s">
        <v>638</v>
      </c>
      <c r="L35" s="3" t="s">
        <v>639</v>
      </c>
      <c r="M35" s="3" t="s">
        <v>640</v>
      </c>
    </row>
  </sheetData>
  <mergeCells count="1">
    <mergeCell ref="A1:M1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5"/>
  <sheetViews>
    <sheetView showGridLines="0" workbookViewId="0"/>
  </sheetViews>
  <sheetFormatPr baseColWidth="10" defaultColWidth="8.83203125" defaultRowHeight="15" x14ac:dyDescent="0.2"/>
  <cols>
    <col min="1" max="1" width="28" customWidth="1"/>
    <col min="2" max="2" width="74" customWidth="1"/>
    <col min="3" max="3" width="54" customWidth="1"/>
    <col min="4" max="8" width="18" customWidth="1"/>
  </cols>
  <sheetData>
    <row r="1" spans="1:8" ht="28" customHeight="1" x14ac:dyDescent="0.2">
      <c r="A1" s="9" t="s">
        <v>641</v>
      </c>
      <c r="B1" s="10"/>
      <c r="C1" s="10"/>
      <c r="D1" s="10"/>
      <c r="E1" s="10"/>
      <c r="F1" s="10"/>
      <c r="G1" s="10"/>
      <c r="H1" s="10"/>
    </row>
    <row r="2" spans="1:8" x14ac:dyDescent="0.2">
      <c r="A2" s="1" t="s">
        <v>642</v>
      </c>
    </row>
    <row r="3" spans="1:8" ht="17" x14ac:dyDescent="0.2">
      <c r="A3" s="7" t="s">
        <v>643</v>
      </c>
    </row>
    <row r="4" spans="1:8" ht="42" customHeight="1" x14ac:dyDescent="0.2">
      <c r="A4" s="3" t="s">
        <v>644</v>
      </c>
      <c r="B4" s="3" t="e">
        <f ca="1">_xludf.XLOOKUP("Oui - choix final",'Portfolio Comparison'!O4:O8,'Portfolio Comparison'!G4:G8,"CHECK")</f>
        <v>#NAME?</v>
      </c>
    </row>
    <row r="5" spans="1:8" ht="42" customHeight="1" x14ac:dyDescent="0.2">
      <c r="A5" s="3" t="s">
        <v>645</v>
      </c>
      <c r="B5" s="3" t="s">
        <v>646</v>
      </c>
    </row>
    <row r="6" spans="1:8" ht="42" customHeight="1" x14ac:dyDescent="0.2">
      <c r="A6" s="3" t="s">
        <v>647</v>
      </c>
      <c r="B6" s="3" t="s">
        <v>648</v>
      </c>
    </row>
    <row r="7" spans="1:8" ht="42" customHeight="1" x14ac:dyDescent="0.2">
      <c r="A7" s="3" t="s">
        <v>649</v>
      </c>
      <c r="B7" s="3" t="s">
        <v>650</v>
      </c>
    </row>
    <row r="8" spans="1:8" ht="42" customHeight="1" x14ac:dyDescent="0.2">
      <c r="A8" s="3" t="s">
        <v>651</v>
      </c>
      <c r="B8" s="3" t="s">
        <v>652</v>
      </c>
    </row>
    <row r="9" spans="1:8" ht="42" customHeight="1" x14ac:dyDescent="0.2">
      <c r="A9" s="3" t="s">
        <v>653</v>
      </c>
      <c r="B9" s="3" t="s">
        <v>654</v>
      </c>
    </row>
    <row r="10" spans="1:8" ht="42" customHeight="1" x14ac:dyDescent="0.2"/>
    <row r="11" spans="1:8" ht="42" customHeight="1" x14ac:dyDescent="0.2"/>
    <row r="12" spans="1:8" ht="42" customHeight="1" x14ac:dyDescent="0.2">
      <c r="A12" s="7" t="s">
        <v>655</v>
      </c>
    </row>
    <row r="13" spans="1:8" ht="42" customHeight="1" x14ac:dyDescent="0.2">
      <c r="A13" s="2" t="s">
        <v>656</v>
      </c>
      <c r="B13" s="2" t="s">
        <v>3</v>
      </c>
      <c r="C13" s="2" t="s">
        <v>657</v>
      </c>
      <c r="D13" s="8"/>
      <c r="E13" s="8"/>
      <c r="F13" s="8"/>
      <c r="G13" s="8"/>
      <c r="H13" s="8"/>
    </row>
    <row r="14" spans="1:8" ht="42" customHeight="1" x14ac:dyDescent="0.2">
      <c r="A14" s="3" t="s">
        <v>658</v>
      </c>
      <c r="B14" s="3" t="s">
        <v>155</v>
      </c>
      <c r="C14" s="3" t="s">
        <v>659</v>
      </c>
    </row>
    <row r="15" spans="1:8" ht="42" customHeight="1" x14ac:dyDescent="0.2">
      <c r="A15" s="3" t="s">
        <v>660</v>
      </c>
      <c r="B15" s="3" t="s">
        <v>39</v>
      </c>
      <c r="C15" s="3" t="s">
        <v>661</v>
      </c>
    </row>
    <row r="16" spans="1:8" ht="42" customHeight="1" x14ac:dyDescent="0.2">
      <c r="A16" s="3" t="s">
        <v>662</v>
      </c>
      <c r="B16" s="3" t="s">
        <v>56</v>
      </c>
      <c r="C16" s="3" t="s">
        <v>663</v>
      </c>
    </row>
    <row r="17" spans="1:8" ht="42" customHeight="1" x14ac:dyDescent="0.2">
      <c r="A17" s="3" t="s">
        <v>664</v>
      </c>
      <c r="B17" s="3" t="s">
        <v>100</v>
      </c>
      <c r="C17" s="3" t="s">
        <v>665</v>
      </c>
    </row>
    <row r="18" spans="1:8" ht="42" customHeight="1" x14ac:dyDescent="0.2">
      <c r="A18" s="3" t="s">
        <v>666</v>
      </c>
      <c r="B18" s="3" t="s">
        <v>556</v>
      </c>
      <c r="C18" s="3" t="s">
        <v>667</v>
      </c>
    </row>
    <row r="19" spans="1:8" ht="42" customHeight="1" x14ac:dyDescent="0.2">
      <c r="A19" s="3" t="s">
        <v>668</v>
      </c>
      <c r="B19" s="3" t="s">
        <v>86</v>
      </c>
      <c r="C19" s="3" t="s">
        <v>669</v>
      </c>
    </row>
    <row r="20" spans="1:8" ht="42" customHeight="1" x14ac:dyDescent="0.2">
      <c r="A20" s="3" t="s">
        <v>670</v>
      </c>
      <c r="B20" s="3" t="s">
        <v>143</v>
      </c>
      <c r="C20" s="3" t="s">
        <v>671</v>
      </c>
    </row>
    <row r="21" spans="1:8" ht="42" customHeight="1" x14ac:dyDescent="0.2"/>
    <row r="22" spans="1:8" ht="42" customHeight="1" x14ac:dyDescent="0.2"/>
    <row r="23" spans="1:8" ht="42" customHeight="1" x14ac:dyDescent="0.2"/>
    <row r="24" spans="1:8" ht="42" customHeight="1" x14ac:dyDescent="0.2">
      <c r="A24" s="7" t="s">
        <v>672</v>
      </c>
    </row>
    <row r="25" spans="1:8" ht="42" customHeight="1" x14ac:dyDescent="0.2">
      <c r="A25" s="2" t="s">
        <v>673</v>
      </c>
      <c r="B25" s="2" t="s">
        <v>674</v>
      </c>
      <c r="C25" s="8"/>
      <c r="D25" s="8"/>
      <c r="E25" s="8"/>
      <c r="F25" s="8"/>
      <c r="G25" s="8"/>
      <c r="H25" s="8"/>
    </row>
    <row r="26" spans="1:8" ht="42" customHeight="1" x14ac:dyDescent="0.2">
      <c r="A26" s="3" t="s">
        <v>675</v>
      </c>
      <c r="B26" s="3" t="s">
        <v>676</v>
      </c>
    </row>
    <row r="27" spans="1:8" ht="42" customHeight="1" x14ac:dyDescent="0.2">
      <c r="A27" s="3" t="s">
        <v>677</v>
      </c>
      <c r="B27" s="3" t="s">
        <v>678</v>
      </c>
    </row>
    <row r="28" spans="1:8" ht="42" customHeight="1" x14ac:dyDescent="0.2">
      <c r="A28" s="3" t="s">
        <v>679</v>
      </c>
      <c r="B28" s="3" t="s">
        <v>680</v>
      </c>
    </row>
    <row r="29" spans="1:8" ht="42" customHeight="1" x14ac:dyDescent="0.2">
      <c r="A29" s="3" t="s">
        <v>681</v>
      </c>
      <c r="B29" s="3" t="s">
        <v>682</v>
      </c>
    </row>
    <row r="30" spans="1:8" ht="42" customHeight="1" x14ac:dyDescent="0.2">
      <c r="A30" s="3" t="s">
        <v>683</v>
      </c>
      <c r="B30" s="3" t="s">
        <v>684</v>
      </c>
    </row>
    <row r="31" spans="1:8" ht="42" customHeight="1" x14ac:dyDescent="0.2">
      <c r="A31" s="3" t="s">
        <v>685</v>
      </c>
      <c r="B31" s="3" t="s">
        <v>686</v>
      </c>
    </row>
    <row r="32" spans="1:8" ht="42" customHeight="1" x14ac:dyDescent="0.2">
      <c r="A32" s="3" t="s">
        <v>687</v>
      </c>
      <c r="B32" s="3" t="s">
        <v>688</v>
      </c>
    </row>
    <row r="33" spans="1:3" ht="42" customHeight="1" x14ac:dyDescent="0.2">
      <c r="A33" s="3" t="s">
        <v>689</v>
      </c>
      <c r="B33" s="3" t="s">
        <v>690</v>
      </c>
    </row>
    <row r="34" spans="1:3" ht="42" customHeight="1" x14ac:dyDescent="0.2">
      <c r="A34" s="3" t="s">
        <v>691</v>
      </c>
      <c r="B34" s="3" t="s">
        <v>692</v>
      </c>
    </row>
    <row r="35" spans="1:3" ht="42" customHeight="1" x14ac:dyDescent="0.2">
      <c r="A35" s="3" t="s">
        <v>693</v>
      </c>
      <c r="B35" s="3" t="s">
        <v>694</v>
      </c>
    </row>
    <row r="36" spans="1:3" ht="42" customHeight="1" x14ac:dyDescent="0.2"/>
    <row r="37" spans="1:3" ht="42" customHeight="1" x14ac:dyDescent="0.2"/>
    <row r="38" spans="1:3" ht="42" customHeight="1" x14ac:dyDescent="0.2"/>
    <row r="39" spans="1:3" ht="42" customHeight="1" x14ac:dyDescent="0.2">
      <c r="A39" s="7" t="s">
        <v>695</v>
      </c>
    </row>
    <row r="40" spans="1:3" ht="42" customHeight="1" x14ac:dyDescent="0.2">
      <c r="A40" s="3" t="s">
        <v>696</v>
      </c>
      <c r="B40" s="3">
        <f>12+18+6+6+6+12+8+10+15+7</f>
        <v>100</v>
      </c>
      <c r="C40" s="3" t="s">
        <v>697</v>
      </c>
    </row>
    <row r="41" spans="1:3" ht="42" customHeight="1" x14ac:dyDescent="0.2">
      <c r="A41" s="3" t="s">
        <v>698</v>
      </c>
      <c r="B41" s="3" t="str">
        <f>'Portfolio Comparison'!C11</f>
        <v>OK</v>
      </c>
      <c r="C41" s="3" t="s">
        <v>699</v>
      </c>
    </row>
    <row r="42" spans="1:3" ht="42" customHeight="1" x14ac:dyDescent="0.2">
      <c r="A42" s="3" t="s">
        <v>700</v>
      </c>
      <c r="B42" s="3" t="s">
        <v>701</v>
      </c>
      <c r="C42" s="3" t="s">
        <v>702</v>
      </c>
    </row>
    <row r="43" spans="1:3" ht="42" customHeight="1" x14ac:dyDescent="0.2">
      <c r="A43" s="3" t="s">
        <v>703</v>
      </c>
      <c r="B43" s="3" t="s">
        <v>704</v>
      </c>
      <c r="C43" s="3" t="s">
        <v>705</v>
      </c>
    </row>
    <row r="44" spans="1:3" ht="42" customHeight="1" x14ac:dyDescent="0.2"/>
    <row r="45" spans="1:3" ht="42" customHeight="1" x14ac:dyDescent="0.2"/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Course Ranking</vt:lpstr>
      <vt:lpstr>Portfolio Comparison</vt:lpstr>
      <vt:lpstr>Synergy Matrix</vt:lpstr>
      <vt:lpstr>Evidence</vt:lpstr>
      <vt:lpstr>Recommendation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Rosenfeld Alexis</cp:lastModifiedBy>
  <dcterms:created xsi:type="dcterms:W3CDTF">2026-09-07T17:19:50Z</dcterms:created>
  <dcterms:modified xsi:type="dcterms:W3CDTF">2026-09-07T17:26:29Z</dcterms:modified>
</cp:coreProperties>
</file>